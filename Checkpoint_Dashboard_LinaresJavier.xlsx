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vucholinares/Downloads/"/>
    </mc:Choice>
  </mc:AlternateContent>
  <xr:revisionPtr revIDLastSave="0" documentId="13_ncr:1_{01B09411-0C59-6E49-98B5-ECECC9FF043B}" xr6:coauthVersionLast="47" xr6:coauthVersionMax="47" xr10:uidLastSave="{00000000-0000-0000-0000-000000000000}"/>
  <bookViews>
    <workbookView xWindow="240" yWindow="500" windowWidth="22540" windowHeight="14620" activeTab="9" xr2:uid="{00000000-000D-0000-FFFF-FFFF00000000}"/>
  </bookViews>
  <sheets>
    <sheet name="Dashboard" sheetId="14" r:id="rId1"/>
    <sheet name="Estado_del_Proyecto" sheetId="1" r:id="rId2"/>
    <sheet name="Esquema_Estrella" sheetId="4" r:id="rId3"/>
    <sheet name="Medidas_DAX" sheetId="5" r:id="rId4"/>
    <sheet name="Datos_Ventas" sheetId="6" state="hidden" r:id="rId5"/>
    <sheet name="Datos_Crudos" sheetId="7" state="hidden" r:id="rId6"/>
    <sheet name="Clientes" sheetId="8" state="hidden" r:id="rId7"/>
    <sheet name="Productos" sheetId="9" state="hidden" r:id="rId8"/>
    <sheet name="Calendario" sheetId="10" state="hidden" r:id="rId9"/>
    <sheet name="Estadística_Descriptiva" sheetId="11" r:id="rId10"/>
    <sheet name="Simulación_Escenarios" sheetId="12" r:id="rId11"/>
    <sheet name="Resumen_Escenarios" sheetId="13" r:id="rId12"/>
    <sheet name="Base_Dashboard" sheetId="15" state="hidden" r:id="rId13"/>
    <sheet name="Calc_Dashboard" sheetId="16" state="hidden" r:id="rId14"/>
    <sheet name="Análisis_IA" sheetId="17" state="hidden" r:id="rId15"/>
  </sheets>
  <definedNames>
    <definedName name="bCant">Base_Dashboard!$J$2:$J$397</definedName>
    <definedName name="bCat">Base_Dashboard!$F$2:$F$397</definedName>
    <definedName name="bCiu">Base_Dashboard!$I$2:$I$397</definedName>
    <definedName name="bCosto">Base_Dashboard!$M$2:$M$397</definedName>
    <definedName name="bDesv">Base_Dashboard!$O$2:$O$397</definedName>
    <definedName name="bMargen">Base_Dashboard!$N$2:$N$397</definedName>
    <definedName name="bMes">Base_Dashboard!$C$2:$C$397</definedName>
    <definedName name="bMonto">Base_Dashboard!$L$2:$L$397</definedName>
    <definedName name="bSeg">Base_Dashboard!$H$2:$H$397</definedName>
    <definedName name="bVis">Base_Dashboard!$P$2:$P$397</definedName>
    <definedName name="Margen_Neto">Simulación_Escenarios!$C$16</definedName>
    <definedName name="Margen_Neto_Pct">Simulación_Escenarios!$C$17</definedName>
    <definedName name="Tasa_Costo">Simulación_Escenarios!$C$6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6" i="16" l="1"/>
  <c r="B85" i="16"/>
  <c r="C83" i="16"/>
  <c r="C82" i="16"/>
  <c r="B10" i="16"/>
  <c r="B7" i="16"/>
  <c r="L397" i="15"/>
  <c r="K397" i="15"/>
  <c r="O397" i="15" s="1"/>
  <c r="J397" i="15"/>
  <c r="M397" i="15" s="1"/>
  <c r="N397" i="15" s="1"/>
  <c r="I397" i="15"/>
  <c r="H397" i="15"/>
  <c r="G397" i="15"/>
  <c r="F397" i="15"/>
  <c r="E397" i="15"/>
  <c r="B397" i="15"/>
  <c r="A397" i="15"/>
  <c r="P397" i="15" s="1"/>
  <c r="L396" i="15"/>
  <c r="K396" i="15"/>
  <c r="O396" i="15" s="1"/>
  <c r="J396" i="15"/>
  <c r="M396" i="15" s="1"/>
  <c r="N396" i="15" s="1"/>
  <c r="I396" i="15"/>
  <c r="H396" i="15"/>
  <c r="G396" i="15"/>
  <c r="F396" i="15"/>
  <c r="E396" i="15"/>
  <c r="B396" i="15"/>
  <c r="A396" i="15"/>
  <c r="P396" i="15" s="1"/>
  <c r="N395" i="15"/>
  <c r="L395" i="15"/>
  <c r="K395" i="15"/>
  <c r="O395" i="15" s="1"/>
  <c r="J395" i="15"/>
  <c r="M395" i="15" s="1"/>
  <c r="I395" i="15"/>
  <c r="H395" i="15"/>
  <c r="G395" i="15"/>
  <c r="F395" i="15"/>
  <c r="E395" i="15"/>
  <c r="B395" i="15"/>
  <c r="A395" i="15"/>
  <c r="P395" i="15" s="1"/>
  <c r="N394" i="15"/>
  <c r="L394" i="15"/>
  <c r="K394" i="15"/>
  <c r="O394" i="15" s="1"/>
  <c r="J394" i="15"/>
  <c r="M394" i="15" s="1"/>
  <c r="I394" i="15"/>
  <c r="H394" i="15"/>
  <c r="G394" i="15"/>
  <c r="F394" i="15"/>
  <c r="E394" i="15"/>
  <c r="B394" i="15"/>
  <c r="A394" i="15"/>
  <c r="P394" i="15" s="1"/>
  <c r="L393" i="15"/>
  <c r="K393" i="15"/>
  <c r="O393" i="15" s="1"/>
  <c r="J393" i="15"/>
  <c r="M393" i="15" s="1"/>
  <c r="N393" i="15" s="1"/>
  <c r="I393" i="15"/>
  <c r="H393" i="15"/>
  <c r="G393" i="15"/>
  <c r="F393" i="15"/>
  <c r="E393" i="15"/>
  <c r="B393" i="15"/>
  <c r="A393" i="15"/>
  <c r="P393" i="15" s="1"/>
  <c r="L392" i="15"/>
  <c r="K392" i="15"/>
  <c r="O392" i="15" s="1"/>
  <c r="J392" i="15"/>
  <c r="M392" i="15" s="1"/>
  <c r="N392" i="15" s="1"/>
  <c r="I392" i="15"/>
  <c r="H392" i="15"/>
  <c r="G392" i="15"/>
  <c r="F392" i="15"/>
  <c r="E392" i="15"/>
  <c r="B392" i="15"/>
  <c r="A392" i="15"/>
  <c r="P392" i="15" s="1"/>
  <c r="N391" i="15"/>
  <c r="L391" i="15"/>
  <c r="K391" i="15"/>
  <c r="O391" i="15" s="1"/>
  <c r="J391" i="15"/>
  <c r="M391" i="15" s="1"/>
  <c r="I391" i="15"/>
  <c r="H391" i="15"/>
  <c r="G391" i="15"/>
  <c r="F391" i="15"/>
  <c r="E391" i="15"/>
  <c r="B391" i="15"/>
  <c r="A391" i="15"/>
  <c r="P391" i="15" s="1"/>
  <c r="L390" i="15"/>
  <c r="K390" i="15"/>
  <c r="O390" i="15" s="1"/>
  <c r="J390" i="15"/>
  <c r="M390" i="15" s="1"/>
  <c r="N390" i="15" s="1"/>
  <c r="I390" i="15"/>
  <c r="H390" i="15"/>
  <c r="G390" i="15"/>
  <c r="F390" i="15"/>
  <c r="E390" i="15"/>
  <c r="B390" i="15"/>
  <c r="A390" i="15"/>
  <c r="P390" i="15" s="1"/>
  <c r="N389" i="15"/>
  <c r="L389" i="15"/>
  <c r="K389" i="15"/>
  <c r="O389" i="15" s="1"/>
  <c r="J389" i="15"/>
  <c r="M389" i="15" s="1"/>
  <c r="I389" i="15"/>
  <c r="H389" i="15"/>
  <c r="G389" i="15"/>
  <c r="F389" i="15"/>
  <c r="E389" i="15"/>
  <c r="B389" i="15"/>
  <c r="A389" i="15"/>
  <c r="P389" i="15" s="1"/>
  <c r="L388" i="15"/>
  <c r="K388" i="15"/>
  <c r="O388" i="15" s="1"/>
  <c r="J388" i="15"/>
  <c r="M388" i="15" s="1"/>
  <c r="N388" i="15" s="1"/>
  <c r="I388" i="15"/>
  <c r="H388" i="15"/>
  <c r="G388" i="15"/>
  <c r="F388" i="15"/>
  <c r="E388" i="15"/>
  <c r="B388" i="15"/>
  <c r="A388" i="15"/>
  <c r="P388" i="15" s="1"/>
  <c r="L387" i="15"/>
  <c r="K387" i="15"/>
  <c r="O387" i="15" s="1"/>
  <c r="J387" i="15"/>
  <c r="M387" i="15" s="1"/>
  <c r="N387" i="15" s="1"/>
  <c r="I387" i="15"/>
  <c r="H387" i="15"/>
  <c r="G387" i="15"/>
  <c r="F387" i="15"/>
  <c r="E387" i="15"/>
  <c r="B387" i="15"/>
  <c r="A387" i="15"/>
  <c r="P387" i="15" s="1"/>
  <c r="L386" i="15"/>
  <c r="K386" i="15"/>
  <c r="O386" i="15" s="1"/>
  <c r="J386" i="15"/>
  <c r="M386" i="15" s="1"/>
  <c r="N386" i="15" s="1"/>
  <c r="I386" i="15"/>
  <c r="H386" i="15"/>
  <c r="G386" i="15"/>
  <c r="F386" i="15"/>
  <c r="E386" i="15"/>
  <c r="B386" i="15"/>
  <c r="A386" i="15"/>
  <c r="P386" i="15" s="1"/>
  <c r="N385" i="15"/>
  <c r="L385" i="15"/>
  <c r="K385" i="15"/>
  <c r="O385" i="15" s="1"/>
  <c r="J385" i="15"/>
  <c r="M385" i="15" s="1"/>
  <c r="I385" i="15"/>
  <c r="H385" i="15"/>
  <c r="G385" i="15"/>
  <c r="F385" i="15"/>
  <c r="E385" i="15"/>
  <c r="B385" i="15"/>
  <c r="A385" i="15"/>
  <c r="P385" i="15" s="1"/>
  <c r="N384" i="15"/>
  <c r="L384" i="15"/>
  <c r="K384" i="15"/>
  <c r="O384" i="15" s="1"/>
  <c r="J384" i="15"/>
  <c r="M384" i="15" s="1"/>
  <c r="I384" i="15"/>
  <c r="H384" i="15"/>
  <c r="G384" i="15"/>
  <c r="F384" i="15"/>
  <c r="E384" i="15"/>
  <c r="B384" i="15"/>
  <c r="C384" i="15" s="1"/>
  <c r="A384" i="15"/>
  <c r="P384" i="15" s="1"/>
  <c r="M383" i="15"/>
  <c r="L383" i="15"/>
  <c r="K383" i="15"/>
  <c r="O383" i="15" s="1"/>
  <c r="J383" i="15"/>
  <c r="I383" i="15"/>
  <c r="H383" i="15"/>
  <c r="G383" i="15"/>
  <c r="F383" i="15"/>
  <c r="E383" i="15"/>
  <c r="D383" i="15"/>
  <c r="B383" i="15"/>
  <c r="C383" i="15" s="1"/>
  <c r="A383" i="15"/>
  <c r="P383" i="15" s="1"/>
  <c r="M382" i="15"/>
  <c r="L382" i="15"/>
  <c r="K382" i="15"/>
  <c r="O382" i="15" s="1"/>
  <c r="J382" i="15"/>
  <c r="I382" i="15"/>
  <c r="H382" i="15"/>
  <c r="G382" i="15"/>
  <c r="F382" i="15"/>
  <c r="E382" i="15"/>
  <c r="D382" i="15"/>
  <c r="B382" i="15"/>
  <c r="C382" i="15" s="1"/>
  <c r="A382" i="15"/>
  <c r="P382" i="15" s="1"/>
  <c r="M381" i="15"/>
  <c r="L381" i="15"/>
  <c r="K381" i="15"/>
  <c r="O381" i="15" s="1"/>
  <c r="J381" i="15"/>
  <c r="I381" i="15"/>
  <c r="H381" i="15"/>
  <c r="G381" i="15"/>
  <c r="F381" i="15"/>
  <c r="E381" i="15"/>
  <c r="D381" i="15"/>
  <c r="B381" i="15"/>
  <c r="C381" i="15" s="1"/>
  <c r="A381" i="15"/>
  <c r="P381" i="15" s="1"/>
  <c r="M380" i="15"/>
  <c r="L380" i="15"/>
  <c r="K380" i="15"/>
  <c r="O380" i="15" s="1"/>
  <c r="J380" i="15"/>
  <c r="I380" i="15"/>
  <c r="H380" i="15"/>
  <c r="G380" i="15"/>
  <c r="F380" i="15"/>
  <c r="E380" i="15"/>
  <c r="D380" i="15"/>
  <c r="B380" i="15"/>
  <c r="C380" i="15" s="1"/>
  <c r="A380" i="15"/>
  <c r="P380" i="15" s="1"/>
  <c r="M379" i="15"/>
  <c r="L379" i="15"/>
  <c r="K379" i="15"/>
  <c r="O379" i="15" s="1"/>
  <c r="J379" i="15"/>
  <c r="I379" i="15"/>
  <c r="H379" i="15"/>
  <c r="G379" i="15"/>
  <c r="F379" i="15"/>
  <c r="E379" i="15"/>
  <c r="D379" i="15"/>
  <c r="B379" i="15"/>
  <c r="C379" i="15" s="1"/>
  <c r="A379" i="15"/>
  <c r="P379" i="15" s="1"/>
  <c r="M378" i="15"/>
  <c r="L378" i="15"/>
  <c r="K378" i="15"/>
  <c r="O378" i="15" s="1"/>
  <c r="J378" i="15"/>
  <c r="I378" i="15"/>
  <c r="H378" i="15"/>
  <c r="G378" i="15"/>
  <c r="F378" i="15"/>
  <c r="E378" i="15"/>
  <c r="D378" i="15"/>
  <c r="B378" i="15"/>
  <c r="C378" i="15" s="1"/>
  <c r="A378" i="15"/>
  <c r="P378" i="15" s="1"/>
  <c r="M377" i="15"/>
  <c r="L377" i="15"/>
  <c r="K377" i="15"/>
  <c r="O377" i="15" s="1"/>
  <c r="J377" i="15"/>
  <c r="I377" i="15"/>
  <c r="H377" i="15"/>
  <c r="G377" i="15"/>
  <c r="F377" i="15"/>
  <c r="E377" i="15"/>
  <c r="D377" i="15"/>
  <c r="B377" i="15"/>
  <c r="C377" i="15" s="1"/>
  <c r="A377" i="15"/>
  <c r="P377" i="15" s="1"/>
  <c r="M376" i="15"/>
  <c r="L376" i="15"/>
  <c r="K376" i="15"/>
  <c r="O376" i="15" s="1"/>
  <c r="J376" i="15"/>
  <c r="I376" i="15"/>
  <c r="H376" i="15"/>
  <c r="G376" i="15"/>
  <c r="F376" i="15"/>
  <c r="E376" i="15"/>
  <c r="D376" i="15"/>
  <c r="B376" i="15"/>
  <c r="C376" i="15" s="1"/>
  <c r="A376" i="15"/>
  <c r="P376" i="15" s="1"/>
  <c r="M375" i="15"/>
  <c r="L375" i="15"/>
  <c r="K375" i="15"/>
  <c r="O375" i="15" s="1"/>
  <c r="J375" i="15"/>
  <c r="I375" i="15"/>
  <c r="H375" i="15"/>
  <c r="G375" i="15"/>
  <c r="F375" i="15"/>
  <c r="E375" i="15"/>
  <c r="D375" i="15"/>
  <c r="B375" i="15"/>
  <c r="C375" i="15" s="1"/>
  <c r="A375" i="15"/>
  <c r="P375" i="15" s="1"/>
  <c r="M374" i="15"/>
  <c r="L374" i="15"/>
  <c r="K374" i="15"/>
  <c r="O374" i="15" s="1"/>
  <c r="J374" i="15"/>
  <c r="I374" i="15"/>
  <c r="H374" i="15"/>
  <c r="G374" i="15"/>
  <c r="F374" i="15"/>
  <c r="E374" i="15"/>
  <c r="D374" i="15"/>
  <c r="B374" i="15"/>
  <c r="C374" i="15" s="1"/>
  <c r="A374" i="15"/>
  <c r="P374" i="15" s="1"/>
  <c r="M373" i="15"/>
  <c r="L373" i="15"/>
  <c r="K373" i="15"/>
  <c r="O373" i="15" s="1"/>
  <c r="J373" i="15"/>
  <c r="I373" i="15"/>
  <c r="H373" i="15"/>
  <c r="G373" i="15"/>
  <c r="F373" i="15"/>
  <c r="E373" i="15"/>
  <c r="D373" i="15"/>
  <c r="B373" i="15"/>
  <c r="C373" i="15" s="1"/>
  <c r="A373" i="15"/>
  <c r="P373" i="15" s="1"/>
  <c r="M372" i="15"/>
  <c r="L372" i="15"/>
  <c r="K372" i="15"/>
  <c r="O372" i="15" s="1"/>
  <c r="J372" i="15"/>
  <c r="I372" i="15"/>
  <c r="H372" i="15"/>
  <c r="G372" i="15"/>
  <c r="F372" i="15"/>
  <c r="E372" i="15"/>
  <c r="D372" i="15"/>
  <c r="B372" i="15"/>
  <c r="C372" i="15" s="1"/>
  <c r="A372" i="15"/>
  <c r="P372" i="15" s="1"/>
  <c r="M371" i="15"/>
  <c r="L371" i="15"/>
  <c r="K371" i="15"/>
  <c r="O371" i="15" s="1"/>
  <c r="J371" i="15"/>
  <c r="I371" i="15"/>
  <c r="H371" i="15"/>
  <c r="G371" i="15"/>
  <c r="F371" i="15"/>
  <c r="E371" i="15"/>
  <c r="D371" i="15"/>
  <c r="B371" i="15"/>
  <c r="C371" i="15" s="1"/>
  <c r="A371" i="15"/>
  <c r="P371" i="15" s="1"/>
  <c r="M370" i="15"/>
  <c r="L370" i="15"/>
  <c r="K370" i="15"/>
  <c r="O370" i="15" s="1"/>
  <c r="J370" i="15"/>
  <c r="I370" i="15"/>
  <c r="H370" i="15"/>
  <c r="G370" i="15"/>
  <c r="F370" i="15"/>
  <c r="E370" i="15"/>
  <c r="D370" i="15"/>
  <c r="B370" i="15"/>
  <c r="C370" i="15" s="1"/>
  <c r="A370" i="15"/>
  <c r="P370" i="15" s="1"/>
  <c r="M369" i="15"/>
  <c r="L369" i="15"/>
  <c r="K369" i="15"/>
  <c r="O369" i="15" s="1"/>
  <c r="J369" i="15"/>
  <c r="I369" i="15"/>
  <c r="H369" i="15"/>
  <c r="G369" i="15"/>
  <c r="F369" i="15"/>
  <c r="E369" i="15"/>
  <c r="D369" i="15"/>
  <c r="B369" i="15"/>
  <c r="C369" i="15" s="1"/>
  <c r="A369" i="15"/>
  <c r="P369" i="15" s="1"/>
  <c r="M368" i="15"/>
  <c r="L368" i="15"/>
  <c r="K368" i="15"/>
  <c r="O368" i="15" s="1"/>
  <c r="J368" i="15"/>
  <c r="I368" i="15"/>
  <c r="H368" i="15"/>
  <c r="G368" i="15"/>
  <c r="F368" i="15"/>
  <c r="E368" i="15"/>
  <c r="D368" i="15"/>
  <c r="B368" i="15"/>
  <c r="C368" i="15" s="1"/>
  <c r="A368" i="15"/>
  <c r="P368" i="15" s="1"/>
  <c r="M367" i="15"/>
  <c r="L367" i="15"/>
  <c r="K367" i="15"/>
  <c r="O367" i="15" s="1"/>
  <c r="J367" i="15"/>
  <c r="I367" i="15"/>
  <c r="H367" i="15"/>
  <c r="G367" i="15"/>
  <c r="F367" i="15"/>
  <c r="E367" i="15"/>
  <c r="D367" i="15"/>
  <c r="B367" i="15"/>
  <c r="C367" i="15" s="1"/>
  <c r="A367" i="15"/>
  <c r="P367" i="15" s="1"/>
  <c r="M366" i="15"/>
  <c r="L366" i="15"/>
  <c r="K366" i="15"/>
  <c r="O366" i="15" s="1"/>
  <c r="J366" i="15"/>
  <c r="I366" i="15"/>
  <c r="H366" i="15"/>
  <c r="G366" i="15"/>
  <c r="F366" i="15"/>
  <c r="E366" i="15"/>
  <c r="D366" i="15"/>
  <c r="B366" i="15"/>
  <c r="C366" i="15" s="1"/>
  <c r="A366" i="15"/>
  <c r="P366" i="15" s="1"/>
  <c r="M365" i="15"/>
  <c r="L365" i="15"/>
  <c r="K365" i="15"/>
  <c r="O365" i="15" s="1"/>
  <c r="J365" i="15"/>
  <c r="I365" i="15"/>
  <c r="H365" i="15"/>
  <c r="G365" i="15"/>
  <c r="F365" i="15"/>
  <c r="E365" i="15"/>
  <c r="D365" i="15"/>
  <c r="B365" i="15"/>
  <c r="C365" i="15" s="1"/>
  <c r="A365" i="15"/>
  <c r="P365" i="15" s="1"/>
  <c r="M364" i="15"/>
  <c r="L364" i="15"/>
  <c r="N364" i="15" s="1"/>
  <c r="K364" i="15"/>
  <c r="O364" i="15" s="1"/>
  <c r="J364" i="15"/>
  <c r="I364" i="15"/>
  <c r="H364" i="15"/>
  <c r="G364" i="15"/>
  <c r="F364" i="15"/>
  <c r="E364" i="15"/>
  <c r="D364" i="15"/>
  <c r="B364" i="15"/>
  <c r="C364" i="15" s="1"/>
  <c r="A364" i="15"/>
  <c r="P364" i="15" s="1"/>
  <c r="M363" i="15"/>
  <c r="L363" i="15"/>
  <c r="K363" i="15"/>
  <c r="O363" i="15" s="1"/>
  <c r="J363" i="15"/>
  <c r="I363" i="15"/>
  <c r="H363" i="15"/>
  <c r="G363" i="15"/>
  <c r="F363" i="15"/>
  <c r="E363" i="15"/>
  <c r="D363" i="15"/>
  <c r="B363" i="15"/>
  <c r="C363" i="15" s="1"/>
  <c r="A363" i="15"/>
  <c r="P363" i="15" s="1"/>
  <c r="M362" i="15"/>
  <c r="L362" i="15"/>
  <c r="K362" i="15"/>
  <c r="O362" i="15" s="1"/>
  <c r="J362" i="15"/>
  <c r="I362" i="15"/>
  <c r="H362" i="15"/>
  <c r="G362" i="15"/>
  <c r="F362" i="15"/>
  <c r="E362" i="15"/>
  <c r="D362" i="15"/>
  <c r="B362" i="15"/>
  <c r="C362" i="15" s="1"/>
  <c r="A362" i="15"/>
  <c r="P362" i="15" s="1"/>
  <c r="M361" i="15"/>
  <c r="L361" i="15"/>
  <c r="K361" i="15"/>
  <c r="O361" i="15" s="1"/>
  <c r="J361" i="15"/>
  <c r="I361" i="15"/>
  <c r="H361" i="15"/>
  <c r="G361" i="15"/>
  <c r="F361" i="15"/>
  <c r="E361" i="15"/>
  <c r="D361" i="15"/>
  <c r="B361" i="15"/>
  <c r="C361" i="15" s="1"/>
  <c r="A361" i="15"/>
  <c r="P361" i="15" s="1"/>
  <c r="M360" i="15"/>
  <c r="L360" i="15"/>
  <c r="N360" i="15" s="1"/>
  <c r="K360" i="15"/>
  <c r="O360" i="15" s="1"/>
  <c r="J360" i="15"/>
  <c r="I360" i="15"/>
  <c r="H360" i="15"/>
  <c r="G360" i="15"/>
  <c r="F360" i="15"/>
  <c r="E360" i="15"/>
  <c r="D360" i="15"/>
  <c r="B360" i="15"/>
  <c r="C360" i="15" s="1"/>
  <c r="A360" i="15"/>
  <c r="P360" i="15" s="1"/>
  <c r="M359" i="15"/>
  <c r="L359" i="15"/>
  <c r="K359" i="15"/>
  <c r="O359" i="15" s="1"/>
  <c r="J359" i="15"/>
  <c r="I359" i="15"/>
  <c r="H359" i="15"/>
  <c r="G359" i="15"/>
  <c r="F359" i="15"/>
  <c r="E359" i="15"/>
  <c r="D359" i="15"/>
  <c r="B359" i="15"/>
  <c r="C359" i="15" s="1"/>
  <c r="A359" i="15"/>
  <c r="P359" i="15" s="1"/>
  <c r="M358" i="15"/>
  <c r="L358" i="15"/>
  <c r="K358" i="15"/>
  <c r="O358" i="15" s="1"/>
  <c r="J358" i="15"/>
  <c r="I358" i="15"/>
  <c r="H358" i="15"/>
  <c r="G358" i="15"/>
  <c r="F358" i="15"/>
  <c r="E358" i="15"/>
  <c r="D358" i="15"/>
  <c r="B358" i="15"/>
  <c r="C358" i="15" s="1"/>
  <c r="A358" i="15"/>
  <c r="P358" i="15" s="1"/>
  <c r="M357" i="15"/>
  <c r="L357" i="15"/>
  <c r="K357" i="15"/>
  <c r="O357" i="15" s="1"/>
  <c r="J357" i="15"/>
  <c r="I357" i="15"/>
  <c r="H357" i="15"/>
  <c r="G357" i="15"/>
  <c r="F357" i="15"/>
  <c r="E357" i="15"/>
  <c r="D357" i="15"/>
  <c r="B357" i="15"/>
  <c r="C357" i="15" s="1"/>
  <c r="A357" i="15"/>
  <c r="P357" i="15" s="1"/>
  <c r="M356" i="15"/>
  <c r="L356" i="15"/>
  <c r="N356" i="15" s="1"/>
  <c r="K356" i="15"/>
  <c r="O356" i="15" s="1"/>
  <c r="J356" i="15"/>
  <c r="I356" i="15"/>
  <c r="H356" i="15"/>
  <c r="G356" i="15"/>
  <c r="F356" i="15"/>
  <c r="E356" i="15"/>
  <c r="D356" i="15"/>
  <c r="B356" i="15"/>
  <c r="C356" i="15" s="1"/>
  <c r="A356" i="15"/>
  <c r="P356" i="15" s="1"/>
  <c r="M355" i="15"/>
  <c r="L355" i="15"/>
  <c r="K355" i="15"/>
  <c r="O355" i="15" s="1"/>
  <c r="J355" i="15"/>
  <c r="I355" i="15"/>
  <c r="H355" i="15"/>
  <c r="G355" i="15"/>
  <c r="F355" i="15"/>
  <c r="E355" i="15"/>
  <c r="D355" i="15"/>
  <c r="B355" i="15"/>
  <c r="C355" i="15" s="1"/>
  <c r="A355" i="15"/>
  <c r="P355" i="15" s="1"/>
  <c r="M354" i="15"/>
  <c r="L354" i="15"/>
  <c r="K354" i="15"/>
  <c r="O354" i="15" s="1"/>
  <c r="J354" i="15"/>
  <c r="I354" i="15"/>
  <c r="H354" i="15"/>
  <c r="G354" i="15"/>
  <c r="F354" i="15"/>
  <c r="E354" i="15"/>
  <c r="D354" i="15"/>
  <c r="B354" i="15"/>
  <c r="C354" i="15" s="1"/>
  <c r="A354" i="15"/>
  <c r="P354" i="15" s="1"/>
  <c r="M353" i="15"/>
  <c r="L353" i="15"/>
  <c r="K353" i="15"/>
  <c r="O353" i="15" s="1"/>
  <c r="J353" i="15"/>
  <c r="I353" i="15"/>
  <c r="H353" i="15"/>
  <c r="G353" i="15"/>
  <c r="F353" i="15"/>
  <c r="E353" i="15"/>
  <c r="D353" i="15"/>
  <c r="B353" i="15"/>
  <c r="C353" i="15" s="1"/>
  <c r="A353" i="15"/>
  <c r="P353" i="15" s="1"/>
  <c r="M352" i="15"/>
  <c r="L352" i="15"/>
  <c r="N352" i="15" s="1"/>
  <c r="K352" i="15"/>
  <c r="O352" i="15" s="1"/>
  <c r="J352" i="15"/>
  <c r="I352" i="15"/>
  <c r="H352" i="15"/>
  <c r="G352" i="15"/>
  <c r="F352" i="15"/>
  <c r="E352" i="15"/>
  <c r="D352" i="15"/>
  <c r="B352" i="15"/>
  <c r="C352" i="15" s="1"/>
  <c r="A352" i="15"/>
  <c r="P352" i="15" s="1"/>
  <c r="M351" i="15"/>
  <c r="L351" i="15"/>
  <c r="K351" i="15"/>
  <c r="O351" i="15" s="1"/>
  <c r="J351" i="15"/>
  <c r="I351" i="15"/>
  <c r="H351" i="15"/>
  <c r="G351" i="15"/>
  <c r="F351" i="15"/>
  <c r="E351" i="15"/>
  <c r="D351" i="15"/>
  <c r="B351" i="15"/>
  <c r="C351" i="15" s="1"/>
  <c r="A351" i="15"/>
  <c r="P351" i="15" s="1"/>
  <c r="M350" i="15"/>
  <c r="L350" i="15"/>
  <c r="K350" i="15"/>
  <c r="O350" i="15" s="1"/>
  <c r="J350" i="15"/>
  <c r="I350" i="15"/>
  <c r="H350" i="15"/>
  <c r="G350" i="15"/>
  <c r="F350" i="15"/>
  <c r="E350" i="15"/>
  <c r="D350" i="15"/>
  <c r="B350" i="15"/>
  <c r="C350" i="15" s="1"/>
  <c r="A350" i="15"/>
  <c r="P350" i="15" s="1"/>
  <c r="M349" i="15"/>
  <c r="L349" i="15"/>
  <c r="K349" i="15"/>
  <c r="O349" i="15" s="1"/>
  <c r="J349" i="15"/>
  <c r="I349" i="15"/>
  <c r="H349" i="15"/>
  <c r="G349" i="15"/>
  <c r="F349" i="15"/>
  <c r="E349" i="15"/>
  <c r="B349" i="15"/>
  <c r="A349" i="15"/>
  <c r="P349" i="15" s="1"/>
  <c r="P348" i="15"/>
  <c r="M348" i="15"/>
  <c r="L348" i="15"/>
  <c r="K348" i="15"/>
  <c r="O348" i="15" s="1"/>
  <c r="J348" i="15"/>
  <c r="I348" i="15"/>
  <c r="H348" i="15"/>
  <c r="G348" i="15"/>
  <c r="F348" i="15"/>
  <c r="E348" i="15"/>
  <c r="D348" i="15"/>
  <c r="B348" i="15"/>
  <c r="C348" i="15" s="1"/>
  <c r="A348" i="15"/>
  <c r="P347" i="15"/>
  <c r="L347" i="15"/>
  <c r="K347" i="15"/>
  <c r="O347" i="15" s="1"/>
  <c r="J347" i="15"/>
  <c r="M347" i="15" s="1"/>
  <c r="N347" i="15" s="1"/>
  <c r="I347" i="15"/>
  <c r="H347" i="15"/>
  <c r="G347" i="15"/>
  <c r="F347" i="15"/>
  <c r="E347" i="15"/>
  <c r="B347" i="15"/>
  <c r="A347" i="15"/>
  <c r="P346" i="15"/>
  <c r="M346" i="15"/>
  <c r="L346" i="15"/>
  <c r="K346" i="15"/>
  <c r="O346" i="15" s="1"/>
  <c r="J346" i="15"/>
  <c r="I346" i="15"/>
  <c r="H346" i="15"/>
  <c r="G346" i="15"/>
  <c r="F346" i="15"/>
  <c r="E346" i="15"/>
  <c r="D346" i="15"/>
  <c r="B346" i="15"/>
  <c r="C346" i="15" s="1"/>
  <c r="A346" i="15"/>
  <c r="P345" i="15"/>
  <c r="L345" i="15"/>
  <c r="K345" i="15"/>
  <c r="O345" i="15" s="1"/>
  <c r="J345" i="15"/>
  <c r="M345" i="15" s="1"/>
  <c r="N345" i="15" s="1"/>
  <c r="I345" i="15"/>
  <c r="H345" i="15"/>
  <c r="G345" i="15"/>
  <c r="F345" i="15"/>
  <c r="E345" i="15"/>
  <c r="B345" i="15"/>
  <c r="A345" i="15"/>
  <c r="P344" i="15"/>
  <c r="M344" i="15"/>
  <c r="L344" i="15"/>
  <c r="K344" i="15"/>
  <c r="O344" i="15" s="1"/>
  <c r="J344" i="15"/>
  <c r="I344" i="15"/>
  <c r="H344" i="15"/>
  <c r="G344" i="15"/>
  <c r="F344" i="15"/>
  <c r="E344" i="15"/>
  <c r="D344" i="15"/>
  <c r="B344" i="15"/>
  <c r="C344" i="15" s="1"/>
  <c r="A344" i="15"/>
  <c r="P343" i="15"/>
  <c r="L343" i="15"/>
  <c r="K343" i="15"/>
  <c r="O343" i="15" s="1"/>
  <c r="J343" i="15"/>
  <c r="M343" i="15" s="1"/>
  <c r="I343" i="15"/>
  <c r="H343" i="15"/>
  <c r="G343" i="15"/>
  <c r="F343" i="15"/>
  <c r="E343" i="15"/>
  <c r="D343" i="15"/>
  <c r="C343" i="15"/>
  <c r="B343" i="15"/>
  <c r="A343" i="15"/>
  <c r="P342" i="15"/>
  <c r="L342" i="15"/>
  <c r="N342" i="15" s="1"/>
  <c r="K342" i="15"/>
  <c r="O342" i="15" s="1"/>
  <c r="J342" i="15"/>
  <c r="M342" i="15" s="1"/>
  <c r="I342" i="15"/>
  <c r="H342" i="15"/>
  <c r="G342" i="15"/>
  <c r="F342" i="15"/>
  <c r="E342" i="15"/>
  <c r="D342" i="15"/>
  <c r="C342" i="15"/>
  <c r="B342" i="15"/>
  <c r="A342" i="15"/>
  <c r="P341" i="15"/>
  <c r="L341" i="15"/>
  <c r="N341" i="15" s="1"/>
  <c r="K341" i="15"/>
  <c r="O341" i="15" s="1"/>
  <c r="J341" i="15"/>
  <c r="M341" i="15" s="1"/>
  <c r="I341" i="15"/>
  <c r="H341" i="15"/>
  <c r="G341" i="15"/>
  <c r="F341" i="15"/>
  <c r="E341" i="15"/>
  <c r="D341" i="15"/>
  <c r="C341" i="15"/>
  <c r="B341" i="15"/>
  <c r="A341" i="15"/>
  <c r="P340" i="15"/>
  <c r="L340" i="15"/>
  <c r="K340" i="15"/>
  <c r="O340" i="15" s="1"/>
  <c r="J340" i="15"/>
  <c r="M340" i="15" s="1"/>
  <c r="I340" i="15"/>
  <c r="H340" i="15"/>
  <c r="G340" i="15"/>
  <c r="F340" i="15"/>
  <c r="E340" i="15"/>
  <c r="D340" i="15"/>
  <c r="C340" i="15"/>
  <c r="B340" i="15"/>
  <c r="A340" i="15"/>
  <c r="P339" i="15"/>
  <c r="L339" i="15"/>
  <c r="K339" i="15"/>
  <c r="O339" i="15" s="1"/>
  <c r="J339" i="15"/>
  <c r="M339" i="15" s="1"/>
  <c r="I339" i="15"/>
  <c r="H339" i="15"/>
  <c r="G339" i="15"/>
  <c r="F339" i="15"/>
  <c r="E339" i="15"/>
  <c r="D339" i="15"/>
  <c r="C339" i="15"/>
  <c r="B339" i="15"/>
  <c r="A339" i="15"/>
  <c r="P338" i="15"/>
  <c r="L338" i="15"/>
  <c r="N338" i="15" s="1"/>
  <c r="K338" i="15"/>
  <c r="O338" i="15" s="1"/>
  <c r="J338" i="15"/>
  <c r="M338" i="15" s="1"/>
  <c r="I338" i="15"/>
  <c r="H338" i="15"/>
  <c r="G338" i="15"/>
  <c r="F338" i="15"/>
  <c r="E338" i="15"/>
  <c r="D338" i="15"/>
  <c r="C338" i="15"/>
  <c r="B338" i="15"/>
  <c r="A338" i="15"/>
  <c r="P337" i="15"/>
  <c r="L337" i="15"/>
  <c r="N337" i="15" s="1"/>
  <c r="K337" i="15"/>
  <c r="O337" i="15" s="1"/>
  <c r="J337" i="15"/>
  <c r="M337" i="15" s="1"/>
  <c r="I337" i="15"/>
  <c r="H337" i="15"/>
  <c r="G337" i="15"/>
  <c r="F337" i="15"/>
  <c r="E337" i="15"/>
  <c r="D337" i="15"/>
  <c r="C337" i="15"/>
  <c r="B337" i="15"/>
  <c r="A337" i="15"/>
  <c r="P336" i="15"/>
  <c r="L336" i="15"/>
  <c r="K336" i="15"/>
  <c r="O336" i="15" s="1"/>
  <c r="J336" i="15"/>
  <c r="M336" i="15" s="1"/>
  <c r="I336" i="15"/>
  <c r="H336" i="15"/>
  <c r="G336" i="15"/>
  <c r="F336" i="15"/>
  <c r="E336" i="15"/>
  <c r="D336" i="15"/>
  <c r="C336" i="15"/>
  <c r="B336" i="15"/>
  <c r="A336" i="15"/>
  <c r="P335" i="15"/>
  <c r="L335" i="15"/>
  <c r="K335" i="15"/>
  <c r="O335" i="15" s="1"/>
  <c r="J335" i="15"/>
  <c r="M335" i="15" s="1"/>
  <c r="I335" i="15"/>
  <c r="H335" i="15"/>
  <c r="G335" i="15"/>
  <c r="F335" i="15"/>
  <c r="E335" i="15"/>
  <c r="D335" i="15"/>
  <c r="C335" i="15"/>
  <c r="B335" i="15"/>
  <c r="A335" i="15"/>
  <c r="P334" i="15"/>
  <c r="L334" i="15"/>
  <c r="N334" i="15" s="1"/>
  <c r="K334" i="15"/>
  <c r="O334" i="15" s="1"/>
  <c r="J334" i="15"/>
  <c r="M334" i="15" s="1"/>
  <c r="I334" i="15"/>
  <c r="H334" i="15"/>
  <c r="G334" i="15"/>
  <c r="F334" i="15"/>
  <c r="E334" i="15"/>
  <c r="D334" i="15"/>
  <c r="C334" i="15"/>
  <c r="B334" i="15"/>
  <c r="A334" i="15"/>
  <c r="P333" i="15"/>
  <c r="L333" i="15"/>
  <c r="N333" i="15" s="1"/>
  <c r="K333" i="15"/>
  <c r="O333" i="15" s="1"/>
  <c r="J333" i="15"/>
  <c r="M333" i="15" s="1"/>
  <c r="I333" i="15"/>
  <c r="H333" i="15"/>
  <c r="G333" i="15"/>
  <c r="F333" i="15"/>
  <c r="E333" i="15"/>
  <c r="D333" i="15"/>
  <c r="C333" i="15"/>
  <c r="B333" i="15"/>
  <c r="A333" i="15"/>
  <c r="P332" i="15"/>
  <c r="L332" i="15"/>
  <c r="K332" i="15"/>
  <c r="O332" i="15" s="1"/>
  <c r="J332" i="15"/>
  <c r="M332" i="15" s="1"/>
  <c r="I332" i="15"/>
  <c r="H332" i="15"/>
  <c r="G332" i="15"/>
  <c r="F332" i="15"/>
  <c r="E332" i="15"/>
  <c r="D332" i="15"/>
  <c r="C332" i="15"/>
  <c r="B332" i="15"/>
  <c r="A332" i="15"/>
  <c r="P331" i="15"/>
  <c r="L331" i="15"/>
  <c r="K331" i="15"/>
  <c r="O331" i="15" s="1"/>
  <c r="J331" i="15"/>
  <c r="M331" i="15" s="1"/>
  <c r="I331" i="15"/>
  <c r="H331" i="15"/>
  <c r="G331" i="15"/>
  <c r="F331" i="15"/>
  <c r="E331" i="15"/>
  <c r="D331" i="15"/>
  <c r="C331" i="15"/>
  <c r="B331" i="15"/>
  <c r="A331" i="15"/>
  <c r="P330" i="15"/>
  <c r="L330" i="15"/>
  <c r="N330" i="15" s="1"/>
  <c r="K330" i="15"/>
  <c r="O330" i="15" s="1"/>
  <c r="J330" i="15"/>
  <c r="M330" i="15" s="1"/>
  <c r="I330" i="15"/>
  <c r="H330" i="15"/>
  <c r="G330" i="15"/>
  <c r="F330" i="15"/>
  <c r="E330" i="15"/>
  <c r="D330" i="15"/>
  <c r="C330" i="15"/>
  <c r="B330" i="15"/>
  <c r="A330" i="15"/>
  <c r="P329" i="15"/>
  <c r="L329" i="15"/>
  <c r="N329" i="15" s="1"/>
  <c r="K329" i="15"/>
  <c r="O329" i="15" s="1"/>
  <c r="J329" i="15"/>
  <c r="M329" i="15" s="1"/>
  <c r="I329" i="15"/>
  <c r="H329" i="15"/>
  <c r="G329" i="15"/>
  <c r="F329" i="15"/>
  <c r="E329" i="15"/>
  <c r="D329" i="15"/>
  <c r="C329" i="15"/>
  <c r="B329" i="15"/>
  <c r="A329" i="15"/>
  <c r="P328" i="15"/>
  <c r="L328" i="15"/>
  <c r="K328" i="15"/>
  <c r="O328" i="15" s="1"/>
  <c r="J328" i="15"/>
  <c r="M328" i="15" s="1"/>
  <c r="I328" i="15"/>
  <c r="H328" i="15"/>
  <c r="G328" i="15"/>
  <c r="F328" i="15"/>
  <c r="E328" i="15"/>
  <c r="D328" i="15"/>
  <c r="C328" i="15"/>
  <c r="B328" i="15"/>
  <c r="A328" i="15"/>
  <c r="P327" i="15"/>
  <c r="L327" i="15"/>
  <c r="K327" i="15"/>
  <c r="O327" i="15" s="1"/>
  <c r="J327" i="15"/>
  <c r="M327" i="15" s="1"/>
  <c r="I327" i="15"/>
  <c r="H327" i="15"/>
  <c r="G327" i="15"/>
  <c r="F327" i="15"/>
  <c r="E327" i="15"/>
  <c r="D327" i="15"/>
  <c r="C327" i="15"/>
  <c r="B327" i="15"/>
  <c r="A327" i="15"/>
  <c r="P326" i="15"/>
  <c r="L326" i="15"/>
  <c r="N326" i="15" s="1"/>
  <c r="K326" i="15"/>
  <c r="O326" i="15" s="1"/>
  <c r="J326" i="15"/>
  <c r="M326" i="15" s="1"/>
  <c r="I326" i="15"/>
  <c r="H326" i="15"/>
  <c r="G326" i="15"/>
  <c r="F326" i="15"/>
  <c r="E326" i="15"/>
  <c r="D326" i="15"/>
  <c r="C326" i="15"/>
  <c r="B326" i="15"/>
  <c r="A326" i="15"/>
  <c r="P325" i="15"/>
  <c r="L325" i="15"/>
  <c r="N325" i="15" s="1"/>
  <c r="K325" i="15"/>
  <c r="O325" i="15" s="1"/>
  <c r="J325" i="15"/>
  <c r="M325" i="15" s="1"/>
  <c r="I325" i="15"/>
  <c r="H325" i="15"/>
  <c r="G325" i="15"/>
  <c r="F325" i="15"/>
  <c r="E325" i="15"/>
  <c r="D325" i="15"/>
  <c r="C325" i="15"/>
  <c r="B325" i="15"/>
  <c r="A325" i="15"/>
  <c r="P324" i="15"/>
  <c r="L324" i="15"/>
  <c r="K324" i="15"/>
  <c r="O324" i="15" s="1"/>
  <c r="J324" i="15"/>
  <c r="M324" i="15" s="1"/>
  <c r="I324" i="15"/>
  <c r="H324" i="15"/>
  <c r="G324" i="15"/>
  <c r="F324" i="15"/>
  <c r="E324" i="15"/>
  <c r="D324" i="15"/>
  <c r="C324" i="15"/>
  <c r="B324" i="15"/>
  <c r="A324" i="15"/>
  <c r="P323" i="15"/>
  <c r="L323" i="15"/>
  <c r="K323" i="15"/>
  <c r="O323" i="15" s="1"/>
  <c r="J323" i="15"/>
  <c r="M323" i="15" s="1"/>
  <c r="I323" i="15"/>
  <c r="H323" i="15"/>
  <c r="G323" i="15"/>
  <c r="F323" i="15"/>
  <c r="E323" i="15"/>
  <c r="D323" i="15"/>
  <c r="C323" i="15"/>
  <c r="B323" i="15"/>
  <c r="A323" i="15"/>
  <c r="P322" i="15"/>
  <c r="L322" i="15"/>
  <c r="N322" i="15" s="1"/>
  <c r="K322" i="15"/>
  <c r="O322" i="15" s="1"/>
  <c r="J322" i="15"/>
  <c r="M322" i="15" s="1"/>
  <c r="I322" i="15"/>
  <c r="H322" i="15"/>
  <c r="G322" i="15"/>
  <c r="F322" i="15"/>
  <c r="E322" i="15"/>
  <c r="D322" i="15"/>
  <c r="C322" i="15"/>
  <c r="B322" i="15"/>
  <c r="A322" i="15"/>
  <c r="P321" i="15"/>
  <c r="L321" i="15"/>
  <c r="N321" i="15" s="1"/>
  <c r="K321" i="15"/>
  <c r="O321" i="15" s="1"/>
  <c r="J321" i="15"/>
  <c r="M321" i="15" s="1"/>
  <c r="I321" i="15"/>
  <c r="H321" i="15"/>
  <c r="G321" i="15"/>
  <c r="F321" i="15"/>
  <c r="E321" i="15"/>
  <c r="D321" i="15"/>
  <c r="C321" i="15"/>
  <c r="B321" i="15"/>
  <c r="A321" i="15"/>
  <c r="P320" i="15"/>
  <c r="L320" i="15"/>
  <c r="K320" i="15"/>
  <c r="O320" i="15" s="1"/>
  <c r="J320" i="15"/>
  <c r="M320" i="15" s="1"/>
  <c r="I320" i="15"/>
  <c r="H320" i="15"/>
  <c r="G320" i="15"/>
  <c r="F320" i="15"/>
  <c r="E320" i="15"/>
  <c r="D320" i="15"/>
  <c r="C320" i="15"/>
  <c r="B320" i="15"/>
  <c r="A320" i="15"/>
  <c r="P319" i="15"/>
  <c r="L319" i="15"/>
  <c r="K319" i="15"/>
  <c r="O319" i="15" s="1"/>
  <c r="J319" i="15"/>
  <c r="M319" i="15" s="1"/>
  <c r="I319" i="15"/>
  <c r="H319" i="15"/>
  <c r="G319" i="15"/>
  <c r="F319" i="15"/>
  <c r="E319" i="15"/>
  <c r="D319" i="15"/>
  <c r="C319" i="15"/>
  <c r="B319" i="15"/>
  <c r="A319" i="15"/>
  <c r="P318" i="15"/>
  <c r="L318" i="15"/>
  <c r="N318" i="15" s="1"/>
  <c r="K318" i="15"/>
  <c r="O318" i="15" s="1"/>
  <c r="J318" i="15"/>
  <c r="M318" i="15" s="1"/>
  <c r="I318" i="15"/>
  <c r="H318" i="15"/>
  <c r="G318" i="15"/>
  <c r="F318" i="15"/>
  <c r="E318" i="15"/>
  <c r="D318" i="15"/>
  <c r="C318" i="15"/>
  <c r="B318" i="15"/>
  <c r="A318" i="15"/>
  <c r="P317" i="15"/>
  <c r="L317" i="15"/>
  <c r="N317" i="15" s="1"/>
  <c r="K317" i="15"/>
  <c r="O317" i="15" s="1"/>
  <c r="J317" i="15"/>
  <c r="M317" i="15" s="1"/>
  <c r="I317" i="15"/>
  <c r="H317" i="15"/>
  <c r="G317" i="15"/>
  <c r="F317" i="15"/>
  <c r="E317" i="15"/>
  <c r="D317" i="15"/>
  <c r="C317" i="15"/>
  <c r="B317" i="15"/>
  <c r="A317" i="15"/>
  <c r="P316" i="15"/>
  <c r="L316" i="15"/>
  <c r="K316" i="15"/>
  <c r="O316" i="15" s="1"/>
  <c r="J316" i="15"/>
  <c r="M316" i="15" s="1"/>
  <c r="I316" i="15"/>
  <c r="H316" i="15"/>
  <c r="G316" i="15"/>
  <c r="F316" i="15"/>
  <c r="E316" i="15"/>
  <c r="D316" i="15"/>
  <c r="C316" i="15"/>
  <c r="B316" i="15"/>
  <c r="A316" i="15"/>
  <c r="P315" i="15"/>
  <c r="L315" i="15"/>
  <c r="K315" i="15"/>
  <c r="O315" i="15" s="1"/>
  <c r="J315" i="15"/>
  <c r="M315" i="15" s="1"/>
  <c r="I315" i="15"/>
  <c r="H315" i="15"/>
  <c r="G315" i="15"/>
  <c r="F315" i="15"/>
  <c r="E315" i="15"/>
  <c r="D315" i="15"/>
  <c r="C315" i="15"/>
  <c r="B315" i="15"/>
  <c r="A315" i="15"/>
  <c r="P314" i="15"/>
  <c r="L314" i="15"/>
  <c r="N314" i="15" s="1"/>
  <c r="K314" i="15"/>
  <c r="O314" i="15" s="1"/>
  <c r="J314" i="15"/>
  <c r="M314" i="15" s="1"/>
  <c r="I314" i="15"/>
  <c r="H314" i="15"/>
  <c r="G314" i="15"/>
  <c r="F314" i="15"/>
  <c r="E314" i="15"/>
  <c r="D314" i="15"/>
  <c r="C314" i="15"/>
  <c r="B314" i="15"/>
  <c r="A314" i="15"/>
  <c r="P313" i="15"/>
  <c r="L313" i="15"/>
  <c r="N313" i="15" s="1"/>
  <c r="K313" i="15"/>
  <c r="O313" i="15" s="1"/>
  <c r="J313" i="15"/>
  <c r="M313" i="15" s="1"/>
  <c r="I313" i="15"/>
  <c r="H313" i="15"/>
  <c r="G313" i="15"/>
  <c r="F313" i="15"/>
  <c r="E313" i="15"/>
  <c r="D313" i="15"/>
  <c r="C313" i="15"/>
  <c r="B313" i="15"/>
  <c r="A313" i="15"/>
  <c r="P312" i="15"/>
  <c r="L312" i="15"/>
  <c r="K312" i="15"/>
  <c r="O312" i="15" s="1"/>
  <c r="J312" i="15"/>
  <c r="M312" i="15" s="1"/>
  <c r="I312" i="15"/>
  <c r="H312" i="15"/>
  <c r="G312" i="15"/>
  <c r="F312" i="15"/>
  <c r="E312" i="15"/>
  <c r="D312" i="15"/>
  <c r="C312" i="15"/>
  <c r="B312" i="15"/>
  <c r="A312" i="15"/>
  <c r="P311" i="15"/>
  <c r="L311" i="15"/>
  <c r="K311" i="15"/>
  <c r="O311" i="15" s="1"/>
  <c r="J311" i="15"/>
  <c r="M311" i="15" s="1"/>
  <c r="I311" i="15"/>
  <c r="H311" i="15"/>
  <c r="G311" i="15"/>
  <c r="F311" i="15"/>
  <c r="E311" i="15"/>
  <c r="D311" i="15"/>
  <c r="C311" i="15"/>
  <c r="B311" i="15"/>
  <c r="A311" i="15"/>
  <c r="P310" i="15"/>
  <c r="L310" i="15"/>
  <c r="N310" i="15" s="1"/>
  <c r="K310" i="15"/>
  <c r="O310" i="15" s="1"/>
  <c r="J310" i="15"/>
  <c r="M310" i="15" s="1"/>
  <c r="I310" i="15"/>
  <c r="H310" i="15"/>
  <c r="G310" i="15"/>
  <c r="F310" i="15"/>
  <c r="E310" i="15"/>
  <c r="D310" i="15"/>
  <c r="C310" i="15"/>
  <c r="B310" i="15"/>
  <c r="A310" i="15"/>
  <c r="P309" i="15"/>
  <c r="L309" i="15"/>
  <c r="N309" i="15" s="1"/>
  <c r="K309" i="15"/>
  <c r="O309" i="15" s="1"/>
  <c r="J309" i="15"/>
  <c r="M309" i="15" s="1"/>
  <c r="I309" i="15"/>
  <c r="H309" i="15"/>
  <c r="G309" i="15"/>
  <c r="F309" i="15"/>
  <c r="E309" i="15"/>
  <c r="D309" i="15"/>
  <c r="C309" i="15"/>
  <c r="B309" i="15"/>
  <c r="A309" i="15"/>
  <c r="P308" i="15"/>
  <c r="L308" i="15"/>
  <c r="K308" i="15"/>
  <c r="O308" i="15" s="1"/>
  <c r="J308" i="15"/>
  <c r="M308" i="15" s="1"/>
  <c r="I308" i="15"/>
  <c r="H308" i="15"/>
  <c r="G308" i="15"/>
  <c r="F308" i="15"/>
  <c r="E308" i="15"/>
  <c r="D308" i="15"/>
  <c r="C308" i="15"/>
  <c r="B308" i="15"/>
  <c r="A308" i="15"/>
  <c r="P307" i="15"/>
  <c r="L307" i="15"/>
  <c r="K307" i="15"/>
  <c r="O307" i="15" s="1"/>
  <c r="J307" i="15"/>
  <c r="M307" i="15" s="1"/>
  <c r="I307" i="15"/>
  <c r="H307" i="15"/>
  <c r="G307" i="15"/>
  <c r="F307" i="15"/>
  <c r="E307" i="15"/>
  <c r="D307" i="15"/>
  <c r="C307" i="15"/>
  <c r="B307" i="15"/>
  <c r="A307" i="15"/>
  <c r="P306" i="15"/>
  <c r="L306" i="15"/>
  <c r="N306" i="15" s="1"/>
  <c r="K306" i="15"/>
  <c r="O306" i="15" s="1"/>
  <c r="J306" i="15"/>
  <c r="M306" i="15" s="1"/>
  <c r="I306" i="15"/>
  <c r="H306" i="15"/>
  <c r="G306" i="15"/>
  <c r="F306" i="15"/>
  <c r="E306" i="15"/>
  <c r="D306" i="15"/>
  <c r="C306" i="15"/>
  <c r="B306" i="15"/>
  <c r="A306" i="15"/>
  <c r="P305" i="15"/>
  <c r="L305" i="15"/>
  <c r="N305" i="15" s="1"/>
  <c r="K305" i="15"/>
  <c r="O305" i="15" s="1"/>
  <c r="J305" i="15"/>
  <c r="M305" i="15" s="1"/>
  <c r="I305" i="15"/>
  <c r="H305" i="15"/>
  <c r="G305" i="15"/>
  <c r="F305" i="15"/>
  <c r="E305" i="15"/>
  <c r="D305" i="15"/>
  <c r="C305" i="15"/>
  <c r="B305" i="15"/>
  <c r="A305" i="15"/>
  <c r="P304" i="15"/>
  <c r="L304" i="15"/>
  <c r="K304" i="15"/>
  <c r="O304" i="15" s="1"/>
  <c r="J304" i="15"/>
  <c r="M304" i="15" s="1"/>
  <c r="I304" i="15"/>
  <c r="H304" i="15"/>
  <c r="G304" i="15"/>
  <c r="F304" i="15"/>
  <c r="E304" i="15"/>
  <c r="D304" i="15"/>
  <c r="C304" i="15"/>
  <c r="B304" i="15"/>
  <c r="A304" i="15"/>
  <c r="P303" i="15"/>
  <c r="L303" i="15"/>
  <c r="K303" i="15"/>
  <c r="O303" i="15" s="1"/>
  <c r="J303" i="15"/>
  <c r="M303" i="15" s="1"/>
  <c r="I303" i="15"/>
  <c r="H303" i="15"/>
  <c r="G303" i="15"/>
  <c r="F303" i="15"/>
  <c r="E303" i="15"/>
  <c r="D303" i="15"/>
  <c r="C303" i="15"/>
  <c r="B303" i="15"/>
  <c r="A303" i="15"/>
  <c r="P302" i="15"/>
  <c r="L302" i="15"/>
  <c r="N302" i="15" s="1"/>
  <c r="K302" i="15"/>
  <c r="O302" i="15" s="1"/>
  <c r="J302" i="15"/>
  <c r="M302" i="15" s="1"/>
  <c r="I302" i="15"/>
  <c r="H302" i="15"/>
  <c r="G302" i="15"/>
  <c r="F302" i="15"/>
  <c r="E302" i="15"/>
  <c r="D302" i="15"/>
  <c r="C302" i="15"/>
  <c r="B302" i="15"/>
  <c r="A302" i="15"/>
  <c r="P301" i="15"/>
  <c r="L301" i="15"/>
  <c r="N301" i="15" s="1"/>
  <c r="K301" i="15"/>
  <c r="O301" i="15" s="1"/>
  <c r="J301" i="15"/>
  <c r="M301" i="15" s="1"/>
  <c r="I301" i="15"/>
  <c r="H301" i="15"/>
  <c r="G301" i="15"/>
  <c r="F301" i="15"/>
  <c r="E301" i="15"/>
  <c r="D301" i="15"/>
  <c r="C301" i="15"/>
  <c r="B301" i="15"/>
  <c r="A301" i="15"/>
  <c r="P300" i="15"/>
  <c r="L300" i="15"/>
  <c r="K300" i="15"/>
  <c r="O300" i="15" s="1"/>
  <c r="J300" i="15"/>
  <c r="M300" i="15" s="1"/>
  <c r="I300" i="15"/>
  <c r="H300" i="15"/>
  <c r="G300" i="15"/>
  <c r="F300" i="15"/>
  <c r="E300" i="15"/>
  <c r="D300" i="15"/>
  <c r="C300" i="15"/>
  <c r="B300" i="15"/>
  <c r="A300" i="15"/>
  <c r="P299" i="15"/>
  <c r="L299" i="15"/>
  <c r="K299" i="15"/>
  <c r="O299" i="15" s="1"/>
  <c r="J299" i="15"/>
  <c r="M299" i="15" s="1"/>
  <c r="I299" i="15"/>
  <c r="H299" i="15"/>
  <c r="G299" i="15"/>
  <c r="F299" i="15"/>
  <c r="E299" i="15"/>
  <c r="D299" i="15"/>
  <c r="C299" i="15"/>
  <c r="B299" i="15"/>
  <c r="A299" i="15"/>
  <c r="P298" i="15"/>
  <c r="L298" i="15"/>
  <c r="N298" i="15" s="1"/>
  <c r="K298" i="15"/>
  <c r="O298" i="15" s="1"/>
  <c r="J298" i="15"/>
  <c r="M298" i="15" s="1"/>
  <c r="I298" i="15"/>
  <c r="H298" i="15"/>
  <c r="G298" i="15"/>
  <c r="F298" i="15"/>
  <c r="E298" i="15"/>
  <c r="D298" i="15"/>
  <c r="C298" i="15"/>
  <c r="B298" i="15"/>
  <c r="A298" i="15"/>
  <c r="P297" i="15"/>
  <c r="L297" i="15"/>
  <c r="N297" i="15" s="1"/>
  <c r="K297" i="15"/>
  <c r="O297" i="15" s="1"/>
  <c r="J297" i="15"/>
  <c r="M297" i="15" s="1"/>
  <c r="I297" i="15"/>
  <c r="H297" i="15"/>
  <c r="G297" i="15"/>
  <c r="F297" i="15"/>
  <c r="E297" i="15"/>
  <c r="D297" i="15"/>
  <c r="C297" i="15"/>
  <c r="B297" i="15"/>
  <c r="A297" i="15"/>
  <c r="P296" i="15"/>
  <c r="L296" i="15"/>
  <c r="K296" i="15"/>
  <c r="O296" i="15" s="1"/>
  <c r="J296" i="15"/>
  <c r="M296" i="15" s="1"/>
  <c r="I296" i="15"/>
  <c r="H296" i="15"/>
  <c r="G296" i="15"/>
  <c r="F296" i="15"/>
  <c r="E296" i="15"/>
  <c r="D296" i="15"/>
  <c r="C296" i="15"/>
  <c r="B296" i="15"/>
  <c r="A296" i="15"/>
  <c r="P295" i="15"/>
  <c r="L295" i="15"/>
  <c r="K295" i="15"/>
  <c r="O295" i="15" s="1"/>
  <c r="J295" i="15"/>
  <c r="M295" i="15" s="1"/>
  <c r="I295" i="15"/>
  <c r="H295" i="15"/>
  <c r="G295" i="15"/>
  <c r="F295" i="15"/>
  <c r="E295" i="15"/>
  <c r="D295" i="15"/>
  <c r="C295" i="15"/>
  <c r="B295" i="15"/>
  <c r="A295" i="15"/>
  <c r="P294" i="15"/>
  <c r="L294" i="15"/>
  <c r="N294" i="15" s="1"/>
  <c r="K294" i="15"/>
  <c r="O294" i="15" s="1"/>
  <c r="J294" i="15"/>
  <c r="M294" i="15" s="1"/>
  <c r="I294" i="15"/>
  <c r="H294" i="15"/>
  <c r="G294" i="15"/>
  <c r="F294" i="15"/>
  <c r="E294" i="15"/>
  <c r="D294" i="15"/>
  <c r="C294" i="15"/>
  <c r="B294" i="15"/>
  <c r="A294" i="15"/>
  <c r="P293" i="15"/>
  <c r="L293" i="15"/>
  <c r="N293" i="15" s="1"/>
  <c r="K293" i="15"/>
  <c r="O293" i="15" s="1"/>
  <c r="J293" i="15"/>
  <c r="M293" i="15" s="1"/>
  <c r="I293" i="15"/>
  <c r="H293" i="15"/>
  <c r="G293" i="15"/>
  <c r="F293" i="15"/>
  <c r="E293" i="15"/>
  <c r="D293" i="15"/>
  <c r="C293" i="15"/>
  <c r="B293" i="15"/>
  <c r="A293" i="15"/>
  <c r="P292" i="15"/>
  <c r="L292" i="15"/>
  <c r="K292" i="15"/>
  <c r="O292" i="15" s="1"/>
  <c r="J292" i="15"/>
  <c r="M292" i="15" s="1"/>
  <c r="I292" i="15"/>
  <c r="H292" i="15"/>
  <c r="G292" i="15"/>
  <c r="F292" i="15"/>
  <c r="E292" i="15"/>
  <c r="D292" i="15"/>
  <c r="C292" i="15"/>
  <c r="B292" i="15"/>
  <c r="A292" i="15"/>
  <c r="P291" i="15"/>
  <c r="L291" i="15"/>
  <c r="K291" i="15"/>
  <c r="O291" i="15" s="1"/>
  <c r="J291" i="15"/>
  <c r="M291" i="15" s="1"/>
  <c r="I291" i="15"/>
  <c r="H291" i="15"/>
  <c r="G291" i="15"/>
  <c r="F291" i="15"/>
  <c r="E291" i="15"/>
  <c r="D291" i="15"/>
  <c r="C291" i="15"/>
  <c r="B291" i="15"/>
  <c r="A291" i="15"/>
  <c r="P290" i="15"/>
  <c r="L290" i="15"/>
  <c r="N290" i="15" s="1"/>
  <c r="K290" i="15"/>
  <c r="O290" i="15" s="1"/>
  <c r="J290" i="15"/>
  <c r="M290" i="15" s="1"/>
  <c r="I290" i="15"/>
  <c r="H290" i="15"/>
  <c r="G290" i="15"/>
  <c r="F290" i="15"/>
  <c r="E290" i="15"/>
  <c r="D290" i="15"/>
  <c r="C290" i="15"/>
  <c r="B290" i="15"/>
  <c r="A290" i="15"/>
  <c r="P289" i="15"/>
  <c r="L289" i="15"/>
  <c r="N289" i="15" s="1"/>
  <c r="K289" i="15"/>
  <c r="O289" i="15" s="1"/>
  <c r="J289" i="15"/>
  <c r="M289" i="15" s="1"/>
  <c r="I289" i="15"/>
  <c r="H289" i="15"/>
  <c r="G289" i="15"/>
  <c r="F289" i="15"/>
  <c r="E289" i="15"/>
  <c r="D289" i="15"/>
  <c r="C289" i="15"/>
  <c r="B289" i="15"/>
  <c r="A289" i="15"/>
  <c r="P288" i="15"/>
  <c r="L288" i="15"/>
  <c r="K288" i="15"/>
  <c r="O288" i="15" s="1"/>
  <c r="J288" i="15"/>
  <c r="M288" i="15" s="1"/>
  <c r="I288" i="15"/>
  <c r="H288" i="15"/>
  <c r="G288" i="15"/>
  <c r="F288" i="15"/>
  <c r="E288" i="15"/>
  <c r="D288" i="15"/>
  <c r="C288" i="15"/>
  <c r="B288" i="15"/>
  <c r="A288" i="15"/>
  <c r="P287" i="15"/>
  <c r="L287" i="15"/>
  <c r="K287" i="15"/>
  <c r="O287" i="15" s="1"/>
  <c r="J287" i="15"/>
  <c r="M287" i="15" s="1"/>
  <c r="I287" i="15"/>
  <c r="H287" i="15"/>
  <c r="G287" i="15"/>
  <c r="F287" i="15"/>
  <c r="E287" i="15"/>
  <c r="D287" i="15"/>
  <c r="C287" i="15"/>
  <c r="B287" i="15"/>
  <c r="A287" i="15"/>
  <c r="P286" i="15"/>
  <c r="L286" i="15"/>
  <c r="N286" i="15" s="1"/>
  <c r="K286" i="15"/>
  <c r="O286" i="15" s="1"/>
  <c r="J286" i="15"/>
  <c r="M286" i="15" s="1"/>
  <c r="I286" i="15"/>
  <c r="H286" i="15"/>
  <c r="G286" i="15"/>
  <c r="F286" i="15"/>
  <c r="E286" i="15"/>
  <c r="D286" i="15"/>
  <c r="C286" i="15"/>
  <c r="B286" i="15"/>
  <c r="A286" i="15"/>
  <c r="P285" i="15"/>
  <c r="M285" i="15"/>
  <c r="L285" i="15"/>
  <c r="N285" i="15" s="1"/>
  <c r="K285" i="15"/>
  <c r="O285" i="15" s="1"/>
  <c r="J285" i="15"/>
  <c r="I285" i="15"/>
  <c r="H285" i="15"/>
  <c r="G285" i="15"/>
  <c r="F285" i="15"/>
  <c r="E285" i="15"/>
  <c r="D285" i="15"/>
  <c r="C285" i="15"/>
  <c r="B285" i="15"/>
  <c r="A285" i="15"/>
  <c r="P284" i="15"/>
  <c r="M284" i="15"/>
  <c r="L284" i="15"/>
  <c r="N284" i="15" s="1"/>
  <c r="K284" i="15"/>
  <c r="O284" i="15" s="1"/>
  <c r="J284" i="15"/>
  <c r="I284" i="15"/>
  <c r="H284" i="15"/>
  <c r="G284" i="15"/>
  <c r="F284" i="15"/>
  <c r="E284" i="15"/>
  <c r="D284" i="15"/>
  <c r="C284" i="15"/>
  <c r="B284" i="15"/>
  <c r="A284" i="15"/>
  <c r="P283" i="15"/>
  <c r="M283" i="15"/>
  <c r="L283" i="15"/>
  <c r="N283" i="15" s="1"/>
  <c r="K283" i="15"/>
  <c r="O283" i="15" s="1"/>
  <c r="J283" i="15"/>
  <c r="I283" i="15"/>
  <c r="H283" i="15"/>
  <c r="G283" i="15"/>
  <c r="F283" i="15"/>
  <c r="E283" i="15"/>
  <c r="D283" i="15"/>
  <c r="C283" i="15"/>
  <c r="B283" i="15"/>
  <c r="A283" i="15"/>
  <c r="P282" i="15"/>
  <c r="M282" i="15"/>
  <c r="L282" i="15"/>
  <c r="N282" i="15" s="1"/>
  <c r="K282" i="15"/>
  <c r="O282" i="15" s="1"/>
  <c r="J282" i="15"/>
  <c r="I282" i="15"/>
  <c r="H282" i="15"/>
  <c r="G282" i="15"/>
  <c r="F282" i="15"/>
  <c r="E282" i="15"/>
  <c r="D282" i="15"/>
  <c r="C282" i="15"/>
  <c r="B282" i="15"/>
  <c r="A282" i="15"/>
  <c r="P281" i="15"/>
  <c r="M281" i="15"/>
  <c r="L281" i="15"/>
  <c r="N281" i="15" s="1"/>
  <c r="K281" i="15"/>
  <c r="O281" i="15" s="1"/>
  <c r="J281" i="15"/>
  <c r="I281" i="15"/>
  <c r="H281" i="15"/>
  <c r="G281" i="15"/>
  <c r="F281" i="15"/>
  <c r="E281" i="15"/>
  <c r="D281" i="15"/>
  <c r="C281" i="15"/>
  <c r="B281" i="15"/>
  <c r="A281" i="15"/>
  <c r="P280" i="15"/>
  <c r="M280" i="15"/>
  <c r="L280" i="15"/>
  <c r="N280" i="15" s="1"/>
  <c r="K280" i="15"/>
  <c r="O280" i="15" s="1"/>
  <c r="J280" i="15"/>
  <c r="I280" i="15"/>
  <c r="H280" i="15"/>
  <c r="G280" i="15"/>
  <c r="F280" i="15"/>
  <c r="E280" i="15"/>
  <c r="D280" i="15"/>
  <c r="C280" i="15"/>
  <c r="B280" i="15"/>
  <c r="A280" i="15"/>
  <c r="P279" i="15"/>
  <c r="M279" i="15"/>
  <c r="L279" i="15"/>
  <c r="N279" i="15" s="1"/>
  <c r="K279" i="15"/>
  <c r="O279" i="15" s="1"/>
  <c r="J279" i="15"/>
  <c r="I279" i="15"/>
  <c r="H279" i="15"/>
  <c r="G279" i="15"/>
  <c r="F279" i="15"/>
  <c r="E279" i="15"/>
  <c r="D279" i="15"/>
  <c r="C279" i="15"/>
  <c r="B279" i="15"/>
  <c r="A279" i="15"/>
  <c r="P278" i="15"/>
  <c r="M278" i="15"/>
  <c r="L278" i="15"/>
  <c r="N278" i="15" s="1"/>
  <c r="K278" i="15"/>
  <c r="O278" i="15" s="1"/>
  <c r="J278" i="15"/>
  <c r="I278" i="15"/>
  <c r="H278" i="15"/>
  <c r="G278" i="15"/>
  <c r="F278" i="15"/>
  <c r="E278" i="15"/>
  <c r="D278" i="15"/>
  <c r="C278" i="15"/>
  <c r="B278" i="15"/>
  <c r="A278" i="15"/>
  <c r="P277" i="15"/>
  <c r="M277" i="15"/>
  <c r="L277" i="15"/>
  <c r="N277" i="15" s="1"/>
  <c r="K277" i="15"/>
  <c r="O277" i="15" s="1"/>
  <c r="J277" i="15"/>
  <c r="I277" i="15"/>
  <c r="H277" i="15"/>
  <c r="G277" i="15"/>
  <c r="F277" i="15"/>
  <c r="E277" i="15"/>
  <c r="D277" i="15"/>
  <c r="C277" i="15"/>
  <c r="B277" i="15"/>
  <c r="A277" i="15"/>
  <c r="P276" i="15"/>
  <c r="M276" i="15"/>
  <c r="L276" i="15"/>
  <c r="N276" i="15" s="1"/>
  <c r="K276" i="15"/>
  <c r="O276" i="15" s="1"/>
  <c r="J276" i="15"/>
  <c r="I276" i="15"/>
  <c r="H276" i="15"/>
  <c r="G276" i="15"/>
  <c r="F276" i="15"/>
  <c r="E276" i="15"/>
  <c r="D276" i="15"/>
  <c r="C276" i="15"/>
  <c r="B276" i="15"/>
  <c r="A276" i="15"/>
  <c r="P275" i="15"/>
  <c r="M275" i="15"/>
  <c r="L275" i="15"/>
  <c r="N275" i="15" s="1"/>
  <c r="K275" i="15"/>
  <c r="O275" i="15" s="1"/>
  <c r="J275" i="15"/>
  <c r="I275" i="15"/>
  <c r="H275" i="15"/>
  <c r="G275" i="15"/>
  <c r="F275" i="15"/>
  <c r="E275" i="15"/>
  <c r="D275" i="15"/>
  <c r="C275" i="15"/>
  <c r="B275" i="15"/>
  <c r="A275" i="15"/>
  <c r="P274" i="15"/>
  <c r="M274" i="15"/>
  <c r="L274" i="15"/>
  <c r="N274" i="15" s="1"/>
  <c r="K274" i="15"/>
  <c r="O274" i="15" s="1"/>
  <c r="J274" i="15"/>
  <c r="I274" i="15"/>
  <c r="H274" i="15"/>
  <c r="G274" i="15"/>
  <c r="F274" i="15"/>
  <c r="E274" i="15"/>
  <c r="D274" i="15"/>
  <c r="C274" i="15"/>
  <c r="B274" i="15"/>
  <c r="A274" i="15"/>
  <c r="P273" i="15"/>
  <c r="M273" i="15"/>
  <c r="L273" i="15"/>
  <c r="N273" i="15" s="1"/>
  <c r="K273" i="15"/>
  <c r="O273" i="15" s="1"/>
  <c r="J273" i="15"/>
  <c r="I273" i="15"/>
  <c r="H273" i="15"/>
  <c r="G273" i="15"/>
  <c r="F273" i="15"/>
  <c r="E273" i="15"/>
  <c r="D273" i="15"/>
  <c r="C273" i="15"/>
  <c r="B273" i="15"/>
  <c r="A273" i="15"/>
  <c r="P272" i="15"/>
  <c r="M272" i="15"/>
  <c r="L272" i="15"/>
  <c r="N272" i="15" s="1"/>
  <c r="K272" i="15"/>
  <c r="O272" i="15" s="1"/>
  <c r="J272" i="15"/>
  <c r="I272" i="15"/>
  <c r="H272" i="15"/>
  <c r="G272" i="15"/>
  <c r="F272" i="15"/>
  <c r="E272" i="15"/>
  <c r="D272" i="15"/>
  <c r="C272" i="15"/>
  <c r="B272" i="15"/>
  <c r="A272" i="15"/>
  <c r="P271" i="15"/>
  <c r="M271" i="15"/>
  <c r="L271" i="15"/>
  <c r="N271" i="15" s="1"/>
  <c r="K271" i="15"/>
  <c r="O271" i="15" s="1"/>
  <c r="J271" i="15"/>
  <c r="I271" i="15"/>
  <c r="H271" i="15"/>
  <c r="G271" i="15"/>
  <c r="F271" i="15"/>
  <c r="E271" i="15"/>
  <c r="D271" i="15"/>
  <c r="C271" i="15"/>
  <c r="B271" i="15"/>
  <c r="A271" i="15"/>
  <c r="P270" i="15"/>
  <c r="M270" i="15"/>
  <c r="L270" i="15"/>
  <c r="N270" i="15" s="1"/>
  <c r="K270" i="15"/>
  <c r="O270" i="15" s="1"/>
  <c r="J270" i="15"/>
  <c r="I270" i="15"/>
  <c r="H270" i="15"/>
  <c r="G270" i="15"/>
  <c r="F270" i="15"/>
  <c r="E270" i="15"/>
  <c r="D270" i="15"/>
  <c r="C270" i="15"/>
  <c r="B270" i="15"/>
  <c r="A270" i="15"/>
  <c r="P269" i="15"/>
  <c r="M269" i="15"/>
  <c r="L269" i="15"/>
  <c r="N269" i="15" s="1"/>
  <c r="K269" i="15"/>
  <c r="O269" i="15" s="1"/>
  <c r="J269" i="15"/>
  <c r="I269" i="15"/>
  <c r="H269" i="15"/>
  <c r="G269" i="15"/>
  <c r="F269" i="15"/>
  <c r="E269" i="15"/>
  <c r="D269" i="15"/>
  <c r="C269" i="15"/>
  <c r="B269" i="15"/>
  <c r="A269" i="15"/>
  <c r="P268" i="15"/>
  <c r="O268" i="15"/>
  <c r="M268" i="15"/>
  <c r="L268" i="15"/>
  <c r="N268" i="15" s="1"/>
  <c r="K268" i="15"/>
  <c r="J268" i="15"/>
  <c r="I268" i="15"/>
  <c r="H268" i="15"/>
  <c r="G268" i="15"/>
  <c r="F268" i="15"/>
  <c r="E268" i="15"/>
  <c r="D268" i="15"/>
  <c r="C268" i="15"/>
  <c r="B268" i="15"/>
  <c r="A268" i="15"/>
  <c r="P267" i="15"/>
  <c r="O267" i="15"/>
  <c r="M267" i="15"/>
  <c r="L267" i="15"/>
  <c r="N267" i="15" s="1"/>
  <c r="K267" i="15"/>
  <c r="J267" i="15"/>
  <c r="I267" i="15"/>
  <c r="H267" i="15"/>
  <c r="G267" i="15"/>
  <c r="F267" i="15"/>
  <c r="E267" i="15"/>
  <c r="D267" i="15"/>
  <c r="C267" i="15"/>
  <c r="B267" i="15"/>
  <c r="A267" i="15"/>
  <c r="P266" i="15"/>
  <c r="M266" i="15"/>
  <c r="L266" i="15"/>
  <c r="N266" i="15" s="1"/>
  <c r="K266" i="15"/>
  <c r="O266" i="15" s="1"/>
  <c r="J266" i="15"/>
  <c r="I266" i="15"/>
  <c r="H266" i="15"/>
  <c r="G266" i="15"/>
  <c r="F266" i="15"/>
  <c r="E266" i="15"/>
  <c r="D266" i="15"/>
  <c r="C266" i="15"/>
  <c r="B266" i="15"/>
  <c r="A266" i="15"/>
  <c r="P265" i="15"/>
  <c r="M265" i="15"/>
  <c r="L265" i="15"/>
  <c r="N265" i="15" s="1"/>
  <c r="K265" i="15"/>
  <c r="O265" i="15" s="1"/>
  <c r="J265" i="15"/>
  <c r="I265" i="15"/>
  <c r="H265" i="15"/>
  <c r="G265" i="15"/>
  <c r="F265" i="15"/>
  <c r="E265" i="15"/>
  <c r="D265" i="15"/>
  <c r="C265" i="15"/>
  <c r="B265" i="15"/>
  <c r="A265" i="15"/>
  <c r="P264" i="15"/>
  <c r="O264" i="15"/>
  <c r="M264" i="15"/>
  <c r="L264" i="15"/>
  <c r="N264" i="15" s="1"/>
  <c r="K264" i="15"/>
  <c r="J264" i="15"/>
  <c r="I264" i="15"/>
  <c r="H264" i="15"/>
  <c r="G264" i="15"/>
  <c r="F264" i="15"/>
  <c r="E264" i="15"/>
  <c r="D264" i="15"/>
  <c r="C264" i="15"/>
  <c r="B264" i="15"/>
  <c r="A264" i="15"/>
  <c r="P263" i="15"/>
  <c r="O263" i="15"/>
  <c r="M263" i="15"/>
  <c r="L263" i="15"/>
  <c r="N263" i="15" s="1"/>
  <c r="K263" i="15"/>
  <c r="J263" i="15"/>
  <c r="I263" i="15"/>
  <c r="H263" i="15"/>
  <c r="G263" i="15"/>
  <c r="F263" i="15"/>
  <c r="E263" i="15"/>
  <c r="D263" i="15"/>
  <c r="C263" i="15"/>
  <c r="B263" i="15"/>
  <c r="A263" i="15"/>
  <c r="P262" i="15"/>
  <c r="M262" i="15"/>
  <c r="L262" i="15"/>
  <c r="N262" i="15" s="1"/>
  <c r="K262" i="15"/>
  <c r="O262" i="15" s="1"/>
  <c r="J262" i="15"/>
  <c r="I262" i="15"/>
  <c r="H262" i="15"/>
  <c r="G262" i="15"/>
  <c r="F262" i="15"/>
  <c r="E262" i="15"/>
  <c r="D262" i="15"/>
  <c r="C262" i="15"/>
  <c r="B262" i="15"/>
  <c r="A262" i="15"/>
  <c r="P261" i="15"/>
  <c r="M261" i="15"/>
  <c r="L261" i="15"/>
  <c r="N261" i="15" s="1"/>
  <c r="K261" i="15"/>
  <c r="O261" i="15" s="1"/>
  <c r="J261" i="15"/>
  <c r="I261" i="15"/>
  <c r="H261" i="15"/>
  <c r="G261" i="15"/>
  <c r="F261" i="15"/>
  <c r="E261" i="15"/>
  <c r="D261" i="15"/>
  <c r="C261" i="15"/>
  <c r="B261" i="15"/>
  <c r="A261" i="15"/>
  <c r="P260" i="15"/>
  <c r="O260" i="15"/>
  <c r="M260" i="15"/>
  <c r="L260" i="15"/>
  <c r="N260" i="15" s="1"/>
  <c r="K260" i="15"/>
  <c r="J260" i="15"/>
  <c r="I260" i="15"/>
  <c r="H260" i="15"/>
  <c r="G260" i="15"/>
  <c r="F260" i="15"/>
  <c r="E260" i="15"/>
  <c r="D260" i="15"/>
  <c r="C260" i="15"/>
  <c r="B260" i="15"/>
  <c r="A260" i="15"/>
  <c r="P259" i="15"/>
  <c r="O259" i="15"/>
  <c r="M259" i="15"/>
  <c r="L259" i="15"/>
  <c r="N259" i="15" s="1"/>
  <c r="K259" i="15"/>
  <c r="J259" i="15"/>
  <c r="I259" i="15"/>
  <c r="H259" i="15"/>
  <c r="G259" i="15"/>
  <c r="F259" i="15"/>
  <c r="E259" i="15"/>
  <c r="D259" i="15"/>
  <c r="C259" i="15"/>
  <c r="B259" i="15"/>
  <c r="A259" i="15"/>
  <c r="P258" i="15"/>
  <c r="M258" i="15"/>
  <c r="L258" i="15"/>
  <c r="N258" i="15" s="1"/>
  <c r="K258" i="15"/>
  <c r="O258" i="15" s="1"/>
  <c r="J258" i="15"/>
  <c r="I258" i="15"/>
  <c r="H258" i="15"/>
  <c r="G258" i="15"/>
  <c r="F258" i="15"/>
  <c r="E258" i="15"/>
  <c r="D258" i="15"/>
  <c r="C258" i="15"/>
  <c r="B258" i="15"/>
  <c r="A258" i="15"/>
  <c r="P257" i="15"/>
  <c r="M257" i="15"/>
  <c r="L257" i="15"/>
  <c r="N257" i="15" s="1"/>
  <c r="K257" i="15"/>
  <c r="O257" i="15" s="1"/>
  <c r="J257" i="15"/>
  <c r="I257" i="15"/>
  <c r="H257" i="15"/>
  <c r="G257" i="15"/>
  <c r="F257" i="15"/>
  <c r="E257" i="15"/>
  <c r="D257" i="15"/>
  <c r="C257" i="15"/>
  <c r="B257" i="15"/>
  <c r="A257" i="15"/>
  <c r="P256" i="15"/>
  <c r="O256" i="15"/>
  <c r="M256" i="15"/>
  <c r="L256" i="15"/>
  <c r="N256" i="15" s="1"/>
  <c r="K256" i="15"/>
  <c r="J256" i="15"/>
  <c r="I256" i="15"/>
  <c r="H256" i="15"/>
  <c r="G256" i="15"/>
  <c r="F256" i="15"/>
  <c r="E256" i="15"/>
  <c r="D256" i="15"/>
  <c r="C256" i="15"/>
  <c r="B256" i="15"/>
  <c r="A256" i="15"/>
  <c r="P255" i="15"/>
  <c r="O255" i="15"/>
  <c r="M255" i="15"/>
  <c r="L255" i="15"/>
  <c r="N255" i="15" s="1"/>
  <c r="K255" i="15"/>
  <c r="J255" i="15"/>
  <c r="I255" i="15"/>
  <c r="H255" i="15"/>
  <c r="G255" i="15"/>
  <c r="F255" i="15"/>
  <c r="E255" i="15"/>
  <c r="D255" i="15"/>
  <c r="C255" i="15"/>
  <c r="B255" i="15"/>
  <c r="A255" i="15"/>
  <c r="P254" i="15"/>
  <c r="M254" i="15"/>
  <c r="L254" i="15"/>
  <c r="N254" i="15" s="1"/>
  <c r="K254" i="15"/>
  <c r="O254" i="15" s="1"/>
  <c r="J254" i="15"/>
  <c r="I254" i="15"/>
  <c r="H254" i="15"/>
  <c r="G254" i="15"/>
  <c r="F254" i="15"/>
  <c r="E254" i="15"/>
  <c r="D254" i="15"/>
  <c r="C254" i="15"/>
  <c r="B254" i="15"/>
  <c r="A254" i="15"/>
  <c r="P253" i="15"/>
  <c r="M253" i="15"/>
  <c r="L253" i="15"/>
  <c r="N253" i="15" s="1"/>
  <c r="K253" i="15"/>
  <c r="O253" i="15" s="1"/>
  <c r="J253" i="15"/>
  <c r="I253" i="15"/>
  <c r="H253" i="15"/>
  <c r="G253" i="15"/>
  <c r="F253" i="15"/>
  <c r="E253" i="15"/>
  <c r="D253" i="15"/>
  <c r="C253" i="15"/>
  <c r="B253" i="15"/>
  <c r="A253" i="15"/>
  <c r="P252" i="15"/>
  <c r="O252" i="15"/>
  <c r="M252" i="15"/>
  <c r="L252" i="15"/>
  <c r="N252" i="15" s="1"/>
  <c r="K252" i="15"/>
  <c r="J252" i="15"/>
  <c r="I252" i="15"/>
  <c r="H252" i="15"/>
  <c r="G252" i="15"/>
  <c r="F252" i="15"/>
  <c r="E252" i="15"/>
  <c r="D252" i="15"/>
  <c r="C252" i="15"/>
  <c r="B252" i="15"/>
  <c r="A252" i="15"/>
  <c r="P251" i="15"/>
  <c r="O251" i="15"/>
  <c r="M251" i="15"/>
  <c r="L251" i="15"/>
  <c r="N251" i="15" s="1"/>
  <c r="K251" i="15"/>
  <c r="J251" i="15"/>
  <c r="I251" i="15"/>
  <c r="H251" i="15"/>
  <c r="G251" i="15"/>
  <c r="F251" i="15"/>
  <c r="E251" i="15"/>
  <c r="D251" i="15"/>
  <c r="C251" i="15"/>
  <c r="B251" i="15"/>
  <c r="A251" i="15"/>
  <c r="P250" i="15"/>
  <c r="M250" i="15"/>
  <c r="L250" i="15"/>
  <c r="N250" i="15" s="1"/>
  <c r="K250" i="15"/>
  <c r="O250" i="15" s="1"/>
  <c r="J250" i="15"/>
  <c r="I250" i="15"/>
  <c r="H250" i="15"/>
  <c r="G250" i="15"/>
  <c r="F250" i="15"/>
  <c r="E250" i="15"/>
  <c r="D250" i="15"/>
  <c r="C250" i="15"/>
  <c r="B250" i="15"/>
  <c r="A250" i="15"/>
  <c r="P249" i="15"/>
  <c r="M249" i="15"/>
  <c r="L249" i="15"/>
  <c r="N249" i="15" s="1"/>
  <c r="K249" i="15"/>
  <c r="O249" i="15" s="1"/>
  <c r="J249" i="15"/>
  <c r="I249" i="15"/>
  <c r="H249" i="15"/>
  <c r="G249" i="15"/>
  <c r="F249" i="15"/>
  <c r="E249" i="15"/>
  <c r="D249" i="15"/>
  <c r="C249" i="15"/>
  <c r="B249" i="15"/>
  <c r="A249" i="15"/>
  <c r="P248" i="15"/>
  <c r="O248" i="15"/>
  <c r="M248" i="15"/>
  <c r="L248" i="15"/>
  <c r="N248" i="15" s="1"/>
  <c r="K248" i="15"/>
  <c r="J248" i="15"/>
  <c r="I248" i="15"/>
  <c r="H248" i="15"/>
  <c r="G248" i="15"/>
  <c r="F248" i="15"/>
  <c r="E248" i="15"/>
  <c r="D248" i="15"/>
  <c r="C248" i="15"/>
  <c r="B248" i="15"/>
  <c r="A248" i="15"/>
  <c r="O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P247" i="15" s="1"/>
  <c r="M246" i="15"/>
  <c r="L246" i="15"/>
  <c r="N246" i="15" s="1"/>
  <c r="K246" i="15"/>
  <c r="O246" i="15" s="1"/>
  <c r="J246" i="15"/>
  <c r="I246" i="15"/>
  <c r="H246" i="15"/>
  <c r="G246" i="15"/>
  <c r="F246" i="15"/>
  <c r="E246" i="15"/>
  <c r="D246" i="15"/>
  <c r="C246" i="15"/>
  <c r="B246" i="15"/>
  <c r="A246" i="15"/>
  <c r="P246" i="15" s="1"/>
  <c r="P245" i="15"/>
  <c r="M245" i="15"/>
  <c r="L245" i="15"/>
  <c r="N245" i="15" s="1"/>
  <c r="K245" i="15"/>
  <c r="O245" i="15" s="1"/>
  <c r="J245" i="15"/>
  <c r="I245" i="15"/>
  <c r="H245" i="15"/>
  <c r="G245" i="15"/>
  <c r="F245" i="15"/>
  <c r="E245" i="15"/>
  <c r="D245" i="15"/>
  <c r="C245" i="15"/>
  <c r="B245" i="15"/>
  <c r="A245" i="15"/>
  <c r="P244" i="15"/>
  <c r="O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O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P243" i="15" s="1"/>
  <c r="M242" i="15"/>
  <c r="L242" i="15"/>
  <c r="N242" i="15" s="1"/>
  <c r="K242" i="15"/>
  <c r="O242" i="15" s="1"/>
  <c r="J242" i="15"/>
  <c r="I242" i="15"/>
  <c r="H242" i="15"/>
  <c r="G242" i="15"/>
  <c r="F242" i="15"/>
  <c r="E242" i="15"/>
  <c r="D242" i="15"/>
  <c r="C242" i="15"/>
  <c r="B242" i="15"/>
  <c r="A242" i="15"/>
  <c r="P242" i="15" s="1"/>
  <c r="P241" i="15"/>
  <c r="M241" i="15"/>
  <c r="L241" i="15"/>
  <c r="N241" i="15" s="1"/>
  <c r="K241" i="15"/>
  <c r="O241" i="15" s="1"/>
  <c r="J241" i="15"/>
  <c r="I241" i="15"/>
  <c r="H241" i="15"/>
  <c r="G241" i="15"/>
  <c r="F241" i="15"/>
  <c r="E241" i="15"/>
  <c r="D241" i="15"/>
  <c r="C241" i="15"/>
  <c r="B241" i="15"/>
  <c r="A241" i="15"/>
  <c r="P240" i="15"/>
  <c r="O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O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P239" i="15" s="1"/>
  <c r="M238" i="15"/>
  <c r="L238" i="15"/>
  <c r="N238" i="15" s="1"/>
  <c r="K238" i="15"/>
  <c r="O238" i="15" s="1"/>
  <c r="J238" i="15"/>
  <c r="I238" i="15"/>
  <c r="H238" i="15"/>
  <c r="G238" i="15"/>
  <c r="F238" i="15"/>
  <c r="E238" i="15"/>
  <c r="D238" i="15"/>
  <c r="C238" i="15"/>
  <c r="B238" i="15"/>
  <c r="A238" i="15"/>
  <c r="P238" i="15" s="1"/>
  <c r="P237" i="15"/>
  <c r="M237" i="15"/>
  <c r="L237" i="15"/>
  <c r="N237" i="15" s="1"/>
  <c r="K237" i="15"/>
  <c r="O237" i="15" s="1"/>
  <c r="J237" i="15"/>
  <c r="I237" i="15"/>
  <c r="H237" i="15"/>
  <c r="G237" i="15"/>
  <c r="F237" i="15"/>
  <c r="E237" i="15"/>
  <c r="D237" i="15"/>
  <c r="C237" i="15"/>
  <c r="B237" i="15"/>
  <c r="A237" i="15"/>
  <c r="P236" i="15"/>
  <c r="O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O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P235" i="15" s="1"/>
  <c r="M234" i="15"/>
  <c r="L234" i="15"/>
  <c r="N234" i="15" s="1"/>
  <c r="K234" i="15"/>
  <c r="O234" i="15" s="1"/>
  <c r="J234" i="15"/>
  <c r="I234" i="15"/>
  <c r="H234" i="15"/>
  <c r="G234" i="15"/>
  <c r="F234" i="15"/>
  <c r="E234" i="15"/>
  <c r="D234" i="15"/>
  <c r="C234" i="15"/>
  <c r="B234" i="15"/>
  <c r="A234" i="15"/>
  <c r="P234" i="15" s="1"/>
  <c r="P233" i="15"/>
  <c r="M233" i="15"/>
  <c r="L233" i="15"/>
  <c r="N233" i="15" s="1"/>
  <c r="K233" i="15"/>
  <c r="O233" i="15" s="1"/>
  <c r="J233" i="15"/>
  <c r="I233" i="15"/>
  <c r="H233" i="15"/>
  <c r="G233" i="15"/>
  <c r="F233" i="15"/>
  <c r="E233" i="15"/>
  <c r="D233" i="15"/>
  <c r="C233" i="15"/>
  <c r="B233" i="15"/>
  <c r="A233" i="15"/>
  <c r="P232" i="15"/>
  <c r="O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O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P231" i="15" s="1"/>
  <c r="M230" i="15"/>
  <c r="L230" i="15"/>
  <c r="N230" i="15" s="1"/>
  <c r="K230" i="15"/>
  <c r="O230" i="15" s="1"/>
  <c r="J230" i="15"/>
  <c r="I230" i="15"/>
  <c r="H230" i="15"/>
  <c r="G230" i="15"/>
  <c r="F230" i="15"/>
  <c r="E230" i="15"/>
  <c r="D230" i="15"/>
  <c r="C230" i="15"/>
  <c r="B230" i="15"/>
  <c r="A230" i="15"/>
  <c r="P230" i="15" s="1"/>
  <c r="P229" i="15"/>
  <c r="M229" i="15"/>
  <c r="L229" i="15"/>
  <c r="N229" i="15" s="1"/>
  <c r="K229" i="15"/>
  <c r="O229" i="15" s="1"/>
  <c r="J229" i="15"/>
  <c r="I229" i="15"/>
  <c r="H229" i="15"/>
  <c r="G229" i="15"/>
  <c r="F229" i="15"/>
  <c r="E229" i="15"/>
  <c r="D229" i="15"/>
  <c r="C229" i="15"/>
  <c r="B229" i="15"/>
  <c r="A229" i="15"/>
  <c r="P228" i="15"/>
  <c r="O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O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P227" i="15" s="1"/>
  <c r="M226" i="15"/>
  <c r="L226" i="15"/>
  <c r="N226" i="15" s="1"/>
  <c r="K226" i="15"/>
  <c r="O226" i="15" s="1"/>
  <c r="J226" i="15"/>
  <c r="I226" i="15"/>
  <c r="H226" i="15"/>
  <c r="G226" i="15"/>
  <c r="F226" i="15"/>
  <c r="E226" i="15"/>
  <c r="D226" i="15"/>
  <c r="C226" i="15"/>
  <c r="B226" i="15"/>
  <c r="A226" i="15"/>
  <c r="P226" i="15" s="1"/>
  <c r="P225" i="15"/>
  <c r="M225" i="15"/>
  <c r="L225" i="15"/>
  <c r="N225" i="15" s="1"/>
  <c r="K225" i="15"/>
  <c r="O225" i="15" s="1"/>
  <c r="J225" i="15"/>
  <c r="I225" i="15"/>
  <c r="H225" i="15"/>
  <c r="G225" i="15"/>
  <c r="F225" i="15"/>
  <c r="E225" i="15"/>
  <c r="D225" i="15"/>
  <c r="C225" i="15"/>
  <c r="B225" i="15"/>
  <c r="A225" i="15"/>
  <c r="P224" i="15"/>
  <c r="O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O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P223" i="15" s="1"/>
  <c r="M222" i="15"/>
  <c r="L222" i="15"/>
  <c r="N222" i="15" s="1"/>
  <c r="K222" i="15"/>
  <c r="O222" i="15" s="1"/>
  <c r="J222" i="15"/>
  <c r="I222" i="15"/>
  <c r="H222" i="15"/>
  <c r="G222" i="15"/>
  <c r="F222" i="15"/>
  <c r="E222" i="15"/>
  <c r="D222" i="15"/>
  <c r="C222" i="15"/>
  <c r="B222" i="15"/>
  <c r="A222" i="15"/>
  <c r="P222" i="15" s="1"/>
  <c r="P221" i="15"/>
  <c r="M221" i="15"/>
  <c r="L221" i="15"/>
  <c r="N221" i="15" s="1"/>
  <c r="K221" i="15"/>
  <c r="O221" i="15" s="1"/>
  <c r="J221" i="15"/>
  <c r="I221" i="15"/>
  <c r="H221" i="15"/>
  <c r="G221" i="15"/>
  <c r="F221" i="15"/>
  <c r="E221" i="15"/>
  <c r="D221" i="15"/>
  <c r="C221" i="15"/>
  <c r="B221" i="15"/>
  <c r="A221" i="15"/>
  <c r="P220" i="15"/>
  <c r="O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O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P219" i="15" s="1"/>
  <c r="M218" i="15"/>
  <c r="L218" i="15"/>
  <c r="N218" i="15" s="1"/>
  <c r="K218" i="15"/>
  <c r="O218" i="15" s="1"/>
  <c r="J218" i="15"/>
  <c r="I218" i="15"/>
  <c r="H218" i="15"/>
  <c r="G218" i="15"/>
  <c r="F218" i="15"/>
  <c r="E218" i="15"/>
  <c r="D218" i="15"/>
  <c r="C218" i="15"/>
  <c r="B218" i="15"/>
  <c r="A218" i="15"/>
  <c r="P218" i="15" s="1"/>
  <c r="P217" i="15"/>
  <c r="M217" i="15"/>
  <c r="L217" i="15"/>
  <c r="N217" i="15" s="1"/>
  <c r="K217" i="15"/>
  <c r="O217" i="15" s="1"/>
  <c r="J217" i="15"/>
  <c r="I217" i="15"/>
  <c r="H217" i="15"/>
  <c r="G217" i="15"/>
  <c r="F217" i="15"/>
  <c r="E217" i="15"/>
  <c r="D217" i="15"/>
  <c r="C217" i="15"/>
  <c r="B217" i="15"/>
  <c r="A217" i="15"/>
  <c r="P216" i="15"/>
  <c r="O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O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P215" i="15" s="1"/>
  <c r="M214" i="15"/>
  <c r="L214" i="15"/>
  <c r="N214" i="15" s="1"/>
  <c r="K214" i="15"/>
  <c r="O214" i="15" s="1"/>
  <c r="J214" i="15"/>
  <c r="I214" i="15"/>
  <c r="H214" i="15"/>
  <c r="G214" i="15"/>
  <c r="F214" i="15"/>
  <c r="E214" i="15"/>
  <c r="D214" i="15"/>
  <c r="C214" i="15"/>
  <c r="B214" i="15"/>
  <c r="A214" i="15"/>
  <c r="P214" i="15" s="1"/>
  <c r="P213" i="15"/>
  <c r="M213" i="15"/>
  <c r="L213" i="15"/>
  <c r="N213" i="15" s="1"/>
  <c r="K213" i="15"/>
  <c r="O213" i="15" s="1"/>
  <c r="J213" i="15"/>
  <c r="I213" i="15"/>
  <c r="H213" i="15"/>
  <c r="G213" i="15"/>
  <c r="F213" i="15"/>
  <c r="E213" i="15"/>
  <c r="D213" i="15"/>
  <c r="C213" i="15"/>
  <c r="B213" i="15"/>
  <c r="A213" i="15"/>
  <c r="P212" i="15"/>
  <c r="O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O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P211" i="15" s="1"/>
  <c r="M210" i="15"/>
  <c r="L210" i="15"/>
  <c r="N210" i="15" s="1"/>
  <c r="K210" i="15"/>
  <c r="O210" i="15" s="1"/>
  <c r="J210" i="15"/>
  <c r="I210" i="15"/>
  <c r="H210" i="15"/>
  <c r="G210" i="15"/>
  <c r="F210" i="15"/>
  <c r="E210" i="15"/>
  <c r="D210" i="15"/>
  <c r="C210" i="15"/>
  <c r="B210" i="15"/>
  <c r="A210" i="15"/>
  <c r="P210" i="15" s="1"/>
  <c r="P209" i="15"/>
  <c r="M209" i="15"/>
  <c r="L209" i="15"/>
  <c r="N209" i="15" s="1"/>
  <c r="K209" i="15"/>
  <c r="O209" i="15" s="1"/>
  <c r="J209" i="15"/>
  <c r="I209" i="15"/>
  <c r="H209" i="15"/>
  <c r="G209" i="15"/>
  <c r="F209" i="15"/>
  <c r="E209" i="15"/>
  <c r="D209" i="15"/>
  <c r="C209" i="15"/>
  <c r="B209" i="15"/>
  <c r="A209" i="15"/>
  <c r="P208" i="15"/>
  <c r="O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O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P207" i="15" s="1"/>
  <c r="M206" i="15"/>
  <c r="L206" i="15"/>
  <c r="N206" i="15" s="1"/>
  <c r="K206" i="15"/>
  <c r="O206" i="15" s="1"/>
  <c r="J206" i="15"/>
  <c r="I206" i="15"/>
  <c r="H206" i="15"/>
  <c r="G206" i="15"/>
  <c r="F206" i="15"/>
  <c r="E206" i="15"/>
  <c r="D206" i="15"/>
  <c r="C206" i="15"/>
  <c r="B206" i="15"/>
  <c r="A206" i="15"/>
  <c r="P206" i="15" s="1"/>
  <c r="P205" i="15"/>
  <c r="M205" i="15"/>
  <c r="L205" i="15"/>
  <c r="N205" i="15" s="1"/>
  <c r="K205" i="15"/>
  <c r="O205" i="15" s="1"/>
  <c r="J205" i="15"/>
  <c r="I205" i="15"/>
  <c r="H205" i="15"/>
  <c r="G205" i="15"/>
  <c r="F205" i="15"/>
  <c r="E205" i="15"/>
  <c r="D205" i="15"/>
  <c r="C205" i="15"/>
  <c r="B205" i="15"/>
  <c r="A205" i="15"/>
  <c r="P204" i="15"/>
  <c r="O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O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P203" i="15" s="1"/>
  <c r="M202" i="15"/>
  <c r="L202" i="15"/>
  <c r="N202" i="15" s="1"/>
  <c r="K202" i="15"/>
  <c r="O202" i="15" s="1"/>
  <c r="J202" i="15"/>
  <c r="I202" i="15"/>
  <c r="H202" i="15"/>
  <c r="G202" i="15"/>
  <c r="F202" i="15"/>
  <c r="E202" i="15"/>
  <c r="D202" i="15"/>
  <c r="C202" i="15"/>
  <c r="B202" i="15"/>
  <c r="A202" i="15"/>
  <c r="P202" i="15" s="1"/>
  <c r="P201" i="15"/>
  <c r="M201" i="15"/>
  <c r="L201" i="15"/>
  <c r="N201" i="15" s="1"/>
  <c r="K201" i="15"/>
  <c r="O201" i="15" s="1"/>
  <c r="J201" i="15"/>
  <c r="I201" i="15"/>
  <c r="H201" i="15"/>
  <c r="G201" i="15"/>
  <c r="F201" i="15"/>
  <c r="E201" i="15"/>
  <c r="D201" i="15"/>
  <c r="C201" i="15"/>
  <c r="B201" i="15"/>
  <c r="A201" i="15"/>
  <c r="P200" i="15"/>
  <c r="O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O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P199" i="15" s="1"/>
  <c r="M198" i="15"/>
  <c r="L198" i="15"/>
  <c r="N198" i="15" s="1"/>
  <c r="K198" i="15"/>
  <c r="O198" i="15" s="1"/>
  <c r="J198" i="15"/>
  <c r="I198" i="15"/>
  <c r="H198" i="15"/>
  <c r="G198" i="15"/>
  <c r="F198" i="15"/>
  <c r="E198" i="15"/>
  <c r="D198" i="15"/>
  <c r="C198" i="15"/>
  <c r="B198" i="15"/>
  <c r="A198" i="15"/>
  <c r="P198" i="15" s="1"/>
  <c r="P197" i="15"/>
  <c r="M197" i="15"/>
  <c r="L197" i="15"/>
  <c r="N197" i="15" s="1"/>
  <c r="K197" i="15"/>
  <c r="O197" i="15" s="1"/>
  <c r="J197" i="15"/>
  <c r="I197" i="15"/>
  <c r="H197" i="15"/>
  <c r="G197" i="15"/>
  <c r="F197" i="15"/>
  <c r="E197" i="15"/>
  <c r="D197" i="15"/>
  <c r="C197" i="15"/>
  <c r="B197" i="15"/>
  <c r="A197" i="15"/>
  <c r="P196" i="15"/>
  <c r="O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O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P195" i="15" s="1"/>
  <c r="M194" i="15"/>
  <c r="L194" i="15"/>
  <c r="N194" i="15" s="1"/>
  <c r="K194" i="15"/>
  <c r="O194" i="15" s="1"/>
  <c r="J194" i="15"/>
  <c r="I194" i="15"/>
  <c r="H194" i="15"/>
  <c r="G194" i="15"/>
  <c r="F194" i="15"/>
  <c r="E194" i="15"/>
  <c r="D194" i="15"/>
  <c r="C194" i="15"/>
  <c r="B194" i="15"/>
  <c r="A194" i="15"/>
  <c r="P194" i="15" s="1"/>
  <c r="P193" i="15"/>
  <c r="M193" i="15"/>
  <c r="L193" i="15"/>
  <c r="N193" i="15" s="1"/>
  <c r="K193" i="15"/>
  <c r="O193" i="15" s="1"/>
  <c r="J193" i="15"/>
  <c r="I193" i="15"/>
  <c r="H193" i="15"/>
  <c r="G193" i="15"/>
  <c r="F193" i="15"/>
  <c r="E193" i="15"/>
  <c r="D193" i="15"/>
  <c r="C193" i="15"/>
  <c r="B193" i="15"/>
  <c r="A193" i="15"/>
  <c r="P192" i="15"/>
  <c r="L192" i="15"/>
  <c r="K192" i="15"/>
  <c r="O192" i="15" s="1"/>
  <c r="J192" i="15"/>
  <c r="M192" i="15" s="1"/>
  <c r="I192" i="15"/>
  <c r="H192" i="15"/>
  <c r="G192" i="15"/>
  <c r="F192" i="15"/>
  <c r="E192" i="15"/>
  <c r="D192" i="15"/>
  <c r="C192" i="15"/>
  <c r="B192" i="15"/>
  <c r="A192" i="15"/>
  <c r="P191" i="15"/>
  <c r="O191" i="15"/>
  <c r="L191" i="15"/>
  <c r="N191" i="15" s="1"/>
  <c r="K191" i="15"/>
  <c r="J191" i="15"/>
  <c r="M191" i="15" s="1"/>
  <c r="I191" i="15"/>
  <c r="H191" i="15"/>
  <c r="G191" i="15"/>
  <c r="F191" i="15"/>
  <c r="E191" i="15"/>
  <c r="D191" i="15"/>
  <c r="C191" i="15"/>
  <c r="B191" i="15"/>
  <c r="A191" i="15"/>
  <c r="P190" i="15"/>
  <c r="L190" i="15"/>
  <c r="K190" i="15"/>
  <c r="O190" i="15" s="1"/>
  <c r="J190" i="15"/>
  <c r="M190" i="15" s="1"/>
  <c r="I190" i="15"/>
  <c r="H190" i="15"/>
  <c r="G190" i="15"/>
  <c r="F190" i="15"/>
  <c r="E190" i="15"/>
  <c r="D190" i="15"/>
  <c r="C190" i="15"/>
  <c r="B190" i="15"/>
  <c r="A190" i="15"/>
  <c r="P189" i="15"/>
  <c r="O189" i="15"/>
  <c r="L189" i="15"/>
  <c r="N189" i="15" s="1"/>
  <c r="K189" i="15"/>
  <c r="J189" i="15"/>
  <c r="M189" i="15" s="1"/>
  <c r="I189" i="15"/>
  <c r="H189" i="15"/>
  <c r="G189" i="15"/>
  <c r="F189" i="15"/>
  <c r="E189" i="15"/>
  <c r="D189" i="15"/>
  <c r="C189" i="15"/>
  <c r="B189" i="15"/>
  <c r="A189" i="15"/>
  <c r="P188" i="15"/>
  <c r="L188" i="15"/>
  <c r="K188" i="15"/>
  <c r="O188" i="15" s="1"/>
  <c r="J188" i="15"/>
  <c r="M188" i="15" s="1"/>
  <c r="I188" i="15"/>
  <c r="H188" i="15"/>
  <c r="G188" i="15"/>
  <c r="F188" i="15"/>
  <c r="E188" i="15"/>
  <c r="D188" i="15"/>
  <c r="C188" i="15"/>
  <c r="B188" i="15"/>
  <c r="A188" i="15"/>
  <c r="P187" i="15"/>
  <c r="O187" i="15"/>
  <c r="L187" i="15"/>
  <c r="N187" i="15" s="1"/>
  <c r="K187" i="15"/>
  <c r="J187" i="15"/>
  <c r="M187" i="15" s="1"/>
  <c r="I187" i="15"/>
  <c r="H187" i="15"/>
  <c r="G187" i="15"/>
  <c r="F187" i="15"/>
  <c r="E187" i="15"/>
  <c r="D187" i="15"/>
  <c r="C187" i="15"/>
  <c r="B187" i="15"/>
  <c r="A187" i="15"/>
  <c r="P186" i="15"/>
  <c r="L186" i="15"/>
  <c r="K186" i="15"/>
  <c r="O186" i="15" s="1"/>
  <c r="J186" i="15"/>
  <c r="M186" i="15" s="1"/>
  <c r="I186" i="15"/>
  <c r="H186" i="15"/>
  <c r="G186" i="15"/>
  <c r="F186" i="15"/>
  <c r="E186" i="15"/>
  <c r="D186" i="15"/>
  <c r="C186" i="15"/>
  <c r="B186" i="15"/>
  <c r="A186" i="15"/>
  <c r="P185" i="15"/>
  <c r="O185" i="15"/>
  <c r="L185" i="15"/>
  <c r="N185" i="15" s="1"/>
  <c r="K185" i="15"/>
  <c r="J185" i="15"/>
  <c r="M185" i="15" s="1"/>
  <c r="I185" i="15"/>
  <c r="H185" i="15"/>
  <c r="G185" i="15"/>
  <c r="F185" i="15"/>
  <c r="E185" i="15"/>
  <c r="D185" i="15"/>
  <c r="C185" i="15"/>
  <c r="B185" i="15"/>
  <c r="A185" i="15"/>
  <c r="P184" i="15"/>
  <c r="L184" i="15"/>
  <c r="K184" i="15"/>
  <c r="O184" i="15" s="1"/>
  <c r="J184" i="15"/>
  <c r="M184" i="15" s="1"/>
  <c r="I184" i="15"/>
  <c r="H184" i="15"/>
  <c r="G184" i="15"/>
  <c r="F184" i="15"/>
  <c r="E184" i="15"/>
  <c r="D184" i="15"/>
  <c r="C184" i="15"/>
  <c r="B184" i="15"/>
  <c r="A184" i="15"/>
  <c r="P183" i="15"/>
  <c r="O183" i="15"/>
  <c r="M183" i="15"/>
  <c r="L183" i="15"/>
  <c r="N183" i="15" s="1"/>
  <c r="K183" i="15"/>
  <c r="J183" i="15"/>
  <c r="I183" i="15"/>
  <c r="H183" i="15"/>
  <c r="G183" i="15"/>
  <c r="F183" i="15"/>
  <c r="E183" i="15"/>
  <c r="D183" i="15"/>
  <c r="C183" i="15"/>
  <c r="B183" i="15"/>
  <c r="A183" i="15"/>
  <c r="P182" i="15"/>
  <c r="M182" i="15"/>
  <c r="L182" i="15"/>
  <c r="N182" i="15" s="1"/>
  <c r="K182" i="15"/>
  <c r="O182" i="15" s="1"/>
  <c r="J182" i="15"/>
  <c r="I182" i="15"/>
  <c r="H182" i="15"/>
  <c r="G182" i="15"/>
  <c r="F182" i="15"/>
  <c r="E182" i="15"/>
  <c r="D182" i="15"/>
  <c r="C182" i="15"/>
  <c r="B182" i="15"/>
  <c r="A182" i="15"/>
  <c r="P181" i="15"/>
  <c r="O181" i="15"/>
  <c r="M181" i="15"/>
  <c r="L181" i="15"/>
  <c r="N181" i="15" s="1"/>
  <c r="K181" i="15"/>
  <c r="J181" i="15"/>
  <c r="I181" i="15"/>
  <c r="H181" i="15"/>
  <c r="G181" i="15"/>
  <c r="F181" i="15"/>
  <c r="E181" i="15"/>
  <c r="D181" i="15"/>
  <c r="C181" i="15"/>
  <c r="B181" i="15"/>
  <c r="A181" i="15"/>
  <c r="P180" i="15"/>
  <c r="M180" i="15"/>
  <c r="L180" i="15"/>
  <c r="N180" i="15" s="1"/>
  <c r="K180" i="15"/>
  <c r="O180" i="15" s="1"/>
  <c r="J180" i="15"/>
  <c r="I180" i="15"/>
  <c r="H180" i="15"/>
  <c r="G180" i="15"/>
  <c r="F180" i="15"/>
  <c r="E180" i="15"/>
  <c r="D180" i="15"/>
  <c r="C180" i="15"/>
  <c r="B180" i="15"/>
  <c r="A180" i="15"/>
  <c r="P179" i="15"/>
  <c r="O179" i="15"/>
  <c r="M179" i="15"/>
  <c r="L179" i="15"/>
  <c r="N179" i="15" s="1"/>
  <c r="K179" i="15"/>
  <c r="J179" i="15"/>
  <c r="I179" i="15"/>
  <c r="H179" i="15"/>
  <c r="G179" i="15"/>
  <c r="F179" i="15"/>
  <c r="E179" i="15"/>
  <c r="D179" i="15"/>
  <c r="C179" i="15"/>
  <c r="B179" i="15"/>
  <c r="A179" i="15"/>
  <c r="P178" i="15"/>
  <c r="M178" i="15"/>
  <c r="L178" i="15"/>
  <c r="N178" i="15" s="1"/>
  <c r="K178" i="15"/>
  <c r="O178" i="15" s="1"/>
  <c r="J178" i="15"/>
  <c r="I178" i="15"/>
  <c r="H178" i="15"/>
  <c r="G178" i="15"/>
  <c r="F178" i="15"/>
  <c r="E178" i="15"/>
  <c r="D178" i="15"/>
  <c r="C178" i="15"/>
  <c r="B178" i="15"/>
  <c r="A178" i="15"/>
  <c r="P177" i="15"/>
  <c r="O177" i="15"/>
  <c r="M177" i="15"/>
  <c r="L177" i="15"/>
  <c r="N177" i="15" s="1"/>
  <c r="K177" i="15"/>
  <c r="J177" i="15"/>
  <c r="I177" i="15"/>
  <c r="H177" i="15"/>
  <c r="G177" i="15"/>
  <c r="F177" i="15"/>
  <c r="E177" i="15"/>
  <c r="C177" i="15"/>
  <c r="B177" i="15"/>
  <c r="D177" i="15" s="1"/>
  <c r="A177" i="15"/>
  <c r="P176" i="15"/>
  <c r="O176" i="15"/>
  <c r="L176" i="15"/>
  <c r="K176" i="15"/>
  <c r="J176" i="15"/>
  <c r="M176" i="15" s="1"/>
  <c r="N176" i="15" s="1"/>
  <c r="I176" i="15"/>
  <c r="H176" i="15"/>
  <c r="G176" i="15"/>
  <c r="F176" i="15"/>
  <c r="E176" i="15"/>
  <c r="C176" i="15"/>
  <c r="B176" i="15"/>
  <c r="D176" i="15" s="1"/>
  <c r="A176" i="15"/>
  <c r="P175" i="15"/>
  <c r="O175" i="15"/>
  <c r="L175" i="15"/>
  <c r="K175" i="15"/>
  <c r="J175" i="15"/>
  <c r="M175" i="15" s="1"/>
  <c r="N175" i="15" s="1"/>
  <c r="I175" i="15"/>
  <c r="H175" i="15"/>
  <c r="G175" i="15"/>
  <c r="F175" i="15"/>
  <c r="E175" i="15"/>
  <c r="C175" i="15"/>
  <c r="B175" i="15"/>
  <c r="D175" i="15" s="1"/>
  <c r="A175" i="15"/>
  <c r="P174" i="15"/>
  <c r="L174" i="15"/>
  <c r="K174" i="15"/>
  <c r="O174" i="15" s="1"/>
  <c r="J174" i="15"/>
  <c r="M174" i="15" s="1"/>
  <c r="N174" i="15" s="1"/>
  <c r="I174" i="15"/>
  <c r="H174" i="15"/>
  <c r="G174" i="15"/>
  <c r="F174" i="15"/>
  <c r="E174" i="15"/>
  <c r="C174" i="15"/>
  <c r="B174" i="15"/>
  <c r="D174" i="15" s="1"/>
  <c r="A174" i="15"/>
  <c r="P173" i="15"/>
  <c r="L173" i="15"/>
  <c r="K173" i="15"/>
  <c r="O173" i="15" s="1"/>
  <c r="J173" i="15"/>
  <c r="M173" i="15" s="1"/>
  <c r="N173" i="15" s="1"/>
  <c r="I173" i="15"/>
  <c r="H173" i="15"/>
  <c r="G173" i="15"/>
  <c r="F173" i="15"/>
  <c r="E173" i="15"/>
  <c r="C173" i="15"/>
  <c r="B173" i="15"/>
  <c r="D173" i="15" s="1"/>
  <c r="A173" i="15"/>
  <c r="P172" i="15"/>
  <c r="O172" i="15"/>
  <c r="L172" i="15"/>
  <c r="K172" i="15"/>
  <c r="J172" i="15"/>
  <c r="M172" i="15" s="1"/>
  <c r="N172" i="15" s="1"/>
  <c r="I172" i="15"/>
  <c r="H172" i="15"/>
  <c r="G172" i="15"/>
  <c r="F172" i="15"/>
  <c r="E172" i="15"/>
  <c r="C172" i="15"/>
  <c r="B172" i="15"/>
  <c r="D172" i="15" s="1"/>
  <c r="A172" i="15"/>
  <c r="P171" i="15"/>
  <c r="O171" i="15"/>
  <c r="L171" i="15"/>
  <c r="K171" i="15"/>
  <c r="J171" i="15"/>
  <c r="M171" i="15" s="1"/>
  <c r="N171" i="15" s="1"/>
  <c r="I171" i="15"/>
  <c r="H171" i="15"/>
  <c r="G171" i="15"/>
  <c r="F171" i="15"/>
  <c r="E171" i="15"/>
  <c r="C171" i="15"/>
  <c r="B171" i="15"/>
  <c r="D171" i="15" s="1"/>
  <c r="A171" i="15"/>
  <c r="P170" i="15"/>
  <c r="L170" i="15"/>
  <c r="K170" i="15"/>
  <c r="O170" i="15" s="1"/>
  <c r="J170" i="15"/>
  <c r="M170" i="15" s="1"/>
  <c r="N170" i="15" s="1"/>
  <c r="I170" i="15"/>
  <c r="H170" i="15"/>
  <c r="G170" i="15"/>
  <c r="F170" i="15"/>
  <c r="E170" i="15"/>
  <c r="C170" i="15"/>
  <c r="B170" i="15"/>
  <c r="D170" i="15" s="1"/>
  <c r="A170" i="15"/>
  <c r="P169" i="15"/>
  <c r="L169" i="15"/>
  <c r="K169" i="15"/>
  <c r="O169" i="15" s="1"/>
  <c r="J169" i="15"/>
  <c r="M169" i="15" s="1"/>
  <c r="N169" i="15" s="1"/>
  <c r="I169" i="15"/>
  <c r="H169" i="15"/>
  <c r="G169" i="15"/>
  <c r="F169" i="15"/>
  <c r="E169" i="15"/>
  <c r="C169" i="15"/>
  <c r="B169" i="15"/>
  <c r="D169" i="15" s="1"/>
  <c r="A169" i="15"/>
  <c r="P168" i="15"/>
  <c r="O168" i="15"/>
  <c r="L168" i="15"/>
  <c r="K168" i="15"/>
  <c r="J168" i="15"/>
  <c r="M168" i="15" s="1"/>
  <c r="N168" i="15" s="1"/>
  <c r="I168" i="15"/>
  <c r="H168" i="15"/>
  <c r="G168" i="15"/>
  <c r="F168" i="15"/>
  <c r="E168" i="15"/>
  <c r="C168" i="15"/>
  <c r="B168" i="15"/>
  <c r="D168" i="15" s="1"/>
  <c r="A168" i="15"/>
  <c r="P167" i="15"/>
  <c r="O167" i="15"/>
  <c r="L167" i="15"/>
  <c r="K167" i="15"/>
  <c r="J167" i="15"/>
  <c r="M167" i="15" s="1"/>
  <c r="N167" i="15" s="1"/>
  <c r="I167" i="15"/>
  <c r="H167" i="15"/>
  <c r="G167" i="15"/>
  <c r="F167" i="15"/>
  <c r="E167" i="15"/>
  <c r="C167" i="15"/>
  <c r="B167" i="15"/>
  <c r="D167" i="15" s="1"/>
  <c r="A167" i="15"/>
  <c r="P166" i="15"/>
  <c r="L166" i="15"/>
  <c r="K166" i="15"/>
  <c r="O166" i="15" s="1"/>
  <c r="J166" i="15"/>
  <c r="M166" i="15" s="1"/>
  <c r="N166" i="15" s="1"/>
  <c r="I166" i="15"/>
  <c r="H166" i="15"/>
  <c r="G166" i="15"/>
  <c r="F166" i="15"/>
  <c r="E166" i="15"/>
  <c r="C166" i="15"/>
  <c r="B166" i="15"/>
  <c r="D166" i="15" s="1"/>
  <c r="A166" i="15"/>
  <c r="P165" i="15"/>
  <c r="L165" i="15"/>
  <c r="K165" i="15"/>
  <c r="O165" i="15" s="1"/>
  <c r="J165" i="15"/>
  <c r="M165" i="15" s="1"/>
  <c r="N165" i="15" s="1"/>
  <c r="I165" i="15"/>
  <c r="H165" i="15"/>
  <c r="G165" i="15"/>
  <c r="F165" i="15"/>
  <c r="E165" i="15"/>
  <c r="C165" i="15"/>
  <c r="B165" i="15"/>
  <c r="D165" i="15" s="1"/>
  <c r="A165" i="15"/>
  <c r="P164" i="15"/>
  <c r="O164" i="15"/>
  <c r="L164" i="15"/>
  <c r="K164" i="15"/>
  <c r="J164" i="15"/>
  <c r="M164" i="15" s="1"/>
  <c r="N164" i="15" s="1"/>
  <c r="I164" i="15"/>
  <c r="H164" i="15"/>
  <c r="G164" i="15"/>
  <c r="F164" i="15"/>
  <c r="E164" i="15"/>
  <c r="C164" i="15"/>
  <c r="B164" i="15"/>
  <c r="D164" i="15" s="1"/>
  <c r="A164" i="15"/>
  <c r="P163" i="15"/>
  <c r="O163" i="15"/>
  <c r="L163" i="15"/>
  <c r="K163" i="15"/>
  <c r="J163" i="15"/>
  <c r="M163" i="15" s="1"/>
  <c r="N163" i="15" s="1"/>
  <c r="I163" i="15"/>
  <c r="H163" i="15"/>
  <c r="G163" i="15"/>
  <c r="F163" i="15"/>
  <c r="E163" i="15"/>
  <c r="C163" i="15"/>
  <c r="B163" i="15"/>
  <c r="D163" i="15" s="1"/>
  <c r="A163" i="15"/>
  <c r="P162" i="15"/>
  <c r="L162" i="15"/>
  <c r="K162" i="15"/>
  <c r="O162" i="15" s="1"/>
  <c r="J162" i="15"/>
  <c r="M162" i="15" s="1"/>
  <c r="N162" i="15" s="1"/>
  <c r="I162" i="15"/>
  <c r="H162" i="15"/>
  <c r="G162" i="15"/>
  <c r="F162" i="15"/>
  <c r="E162" i="15"/>
  <c r="C162" i="15"/>
  <c r="B162" i="15"/>
  <c r="D162" i="15" s="1"/>
  <c r="A162" i="15"/>
  <c r="P161" i="15"/>
  <c r="L161" i="15"/>
  <c r="K161" i="15"/>
  <c r="O161" i="15" s="1"/>
  <c r="J161" i="15"/>
  <c r="M161" i="15" s="1"/>
  <c r="N161" i="15" s="1"/>
  <c r="I161" i="15"/>
  <c r="H161" i="15"/>
  <c r="G161" i="15"/>
  <c r="F161" i="15"/>
  <c r="E161" i="15"/>
  <c r="C161" i="15"/>
  <c r="B161" i="15"/>
  <c r="D161" i="15" s="1"/>
  <c r="A161" i="15"/>
  <c r="P160" i="15"/>
  <c r="O160" i="15"/>
  <c r="L160" i="15"/>
  <c r="K160" i="15"/>
  <c r="J160" i="15"/>
  <c r="M160" i="15" s="1"/>
  <c r="N160" i="15" s="1"/>
  <c r="I160" i="15"/>
  <c r="H160" i="15"/>
  <c r="G160" i="15"/>
  <c r="F160" i="15"/>
  <c r="E160" i="15"/>
  <c r="C160" i="15"/>
  <c r="B160" i="15"/>
  <c r="D160" i="15" s="1"/>
  <c r="A160" i="15"/>
  <c r="P159" i="15"/>
  <c r="O159" i="15"/>
  <c r="L159" i="15"/>
  <c r="K159" i="15"/>
  <c r="J159" i="15"/>
  <c r="M159" i="15" s="1"/>
  <c r="N159" i="15" s="1"/>
  <c r="I159" i="15"/>
  <c r="H159" i="15"/>
  <c r="G159" i="15"/>
  <c r="F159" i="15"/>
  <c r="E159" i="15"/>
  <c r="C159" i="15"/>
  <c r="B159" i="15"/>
  <c r="D159" i="15" s="1"/>
  <c r="A159" i="15"/>
  <c r="P158" i="15"/>
  <c r="L158" i="15"/>
  <c r="K158" i="15"/>
  <c r="O158" i="15" s="1"/>
  <c r="J158" i="15"/>
  <c r="M158" i="15" s="1"/>
  <c r="N158" i="15" s="1"/>
  <c r="I158" i="15"/>
  <c r="H158" i="15"/>
  <c r="G158" i="15"/>
  <c r="F158" i="15"/>
  <c r="E158" i="15"/>
  <c r="C158" i="15"/>
  <c r="B158" i="15"/>
  <c r="D158" i="15" s="1"/>
  <c r="A158" i="15"/>
  <c r="P157" i="15"/>
  <c r="L157" i="15"/>
  <c r="K157" i="15"/>
  <c r="O157" i="15" s="1"/>
  <c r="J157" i="15"/>
  <c r="M157" i="15" s="1"/>
  <c r="N157" i="15" s="1"/>
  <c r="I157" i="15"/>
  <c r="H157" i="15"/>
  <c r="G157" i="15"/>
  <c r="F157" i="15"/>
  <c r="E157" i="15"/>
  <c r="C157" i="15"/>
  <c r="B157" i="15"/>
  <c r="D157" i="15" s="1"/>
  <c r="A157" i="15"/>
  <c r="P156" i="15"/>
  <c r="O156" i="15"/>
  <c r="L156" i="15"/>
  <c r="K156" i="15"/>
  <c r="J156" i="15"/>
  <c r="M156" i="15" s="1"/>
  <c r="N156" i="15" s="1"/>
  <c r="I156" i="15"/>
  <c r="H156" i="15"/>
  <c r="G156" i="15"/>
  <c r="F156" i="15"/>
  <c r="E156" i="15"/>
  <c r="C156" i="15"/>
  <c r="B156" i="15"/>
  <c r="D156" i="15" s="1"/>
  <c r="A156" i="15"/>
  <c r="P155" i="15"/>
  <c r="O155" i="15"/>
  <c r="L155" i="15"/>
  <c r="K155" i="15"/>
  <c r="J155" i="15"/>
  <c r="M155" i="15" s="1"/>
  <c r="N155" i="15" s="1"/>
  <c r="I155" i="15"/>
  <c r="H155" i="15"/>
  <c r="G155" i="15"/>
  <c r="F155" i="15"/>
  <c r="E155" i="15"/>
  <c r="C155" i="15"/>
  <c r="B155" i="15"/>
  <c r="D155" i="15" s="1"/>
  <c r="A155" i="15"/>
  <c r="P154" i="15"/>
  <c r="L154" i="15"/>
  <c r="K154" i="15"/>
  <c r="O154" i="15" s="1"/>
  <c r="J154" i="15"/>
  <c r="M154" i="15" s="1"/>
  <c r="N154" i="15" s="1"/>
  <c r="I154" i="15"/>
  <c r="H154" i="15"/>
  <c r="G154" i="15"/>
  <c r="F154" i="15"/>
  <c r="E154" i="15"/>
  <c r="C154" i="15"/>
  <c r="B154" i="15"/>
  <c r="D154" i="15" s="1"/>
  <c r="A154" i="15"/>
  <c r="P153" i="15"/>
  <c r="L153" i="15"/>
  <c r="K153" i="15"/>
  <c r="O153" i="15" s="1"/>
  <c r="J153" i="15"/>
  <c r="M153" i="15" s="1"/>
  <c r="N153" i="15" s="1"/>
  <c r="I153" i="15"/>
  <c r="H153" i="15"/>
  <c r="G153" i="15"/>
  <c r="F153" i="15"/>
  <c r="E153" i="15"/>
  <c r="C153" i="15"/>
  <c r="B153" i="15"/>
  <c r="D153" i="15" s="1"/>
  <c r="A153" i="15"/>
  <c r="P152" i="15"/>
  <c r="O152" i="15"/>
  <c r="L152" i="15"/>
  <c r="K152" i="15"/>
  <c r="J152" i="15"/>
  <c r="M152" i="15" s="1"/>
  <c r="N152" i="15" s="1"/>
  <c r="I152" i="15"/>
  <c r="H152" i="15"/>
  <c r="G152" i="15"/>
  <c r="F152" i="15"/>
  <c r="E152" i="15"/>
  <c r="C152" i="15"/>
  <c r="B152" i="15"/>
  <c r="D152" i="15" s="1"/>
  <c r="A152" i="15"/>
  <c r="P151" i="15"/>
  <c r="O151" i="15"/>
  <c r="L151" i="15"/>
  <c r="K151" i="15"/>
  <c r="J151" i="15"/>
  <c r="M151" i="15" s="1"/>
  <c r="N151" i="15" s="1"/>
  <c r="I151" i="15"/>
  <c r="H151" i="15"/>
  <c r="G151" i="15"/>
  <c r="F151" i="15"/>
  <c r="E151" i="15"/>
  <c r="C151" i="15"/>
  <c r="B151" i="15"/>
  <c r="D151" i="15" s="1"/>
  <c r="A151" i="15"/>
  <c r="P150" i="15"/>
  <c r="L150" i="15"/>
  <c r="K150" i="15"/>
  <c r="O150" i="15" s="1"/>
  <c r="J150" i="15"/>
  <c r="M150" i="15" s="1"/>
  <c r="N150" i="15" s="1"/>
  <c r="I150" i="15"/>
  <c r="H150" i="15"/>
  <c r="G150" i="15"/>
  <c r="F150" i="15"/>
  <c r="E150" i="15"/>
  <c r="C150" i="15"/>
  <c r="B150" i="15"/>
  <c r="D150" i="15" s="1"/>
  <c r="A150" i="15"/>
  <c r="P149" i="15"/>
  <c r="L149" i="15"/>
  <c r="K149" i="15"/>
  <c r="O149" i="15" s="1"/>
  <c r="J149" i="15"/>
  <c r="M149" i="15" s="1"/>
  <c r="N149" i="15" s="1"/>
  <c r="I149" i="15"/>
  <c r="H149" i="15"/>
  <c r="G149" i="15"/>
  <c r="F149" i="15"/>
  <c r="E149" i="15"/>
  <c r="C149" i="15"/>
  <c r="B149" i="15"/>
  <c r="D149" i="15" s="1"/>
  <c r="A149" i="15"/>
  <c r="P148" i="15"/>
  <c r="O148" i="15"/>
  <c r="L148" i="15"/>
  <c r="K148" i="15"/>
  <c r="J148" i="15"/>
  <c r="M148" i="15" s="1"/>
  <c r="N148" i="15" s="1"/>
  <c r="I148" i="15"/>
  <c r="H148" i="15"/>
  <c r="G148" i="15"/>
  <c r="F148" i="15"/>
  <c r="E148" i="15"/>
  <c r="C148" i="15"/>
  <c r="B148" i="15"/>
  <c r="D148" i="15" s="1"/>
  <c r="A148" i="15"/>
  <c r="P147" i="15"/>
  <c r="O147" i="15"/>
  <c r="L147" i="15"/>
  <c r="K147" i="15"/>
  <c r="J147" i="15"/>
  <c r="M147" i="15" s="1"/>
  <c r="N147" i="15" s="1"/>
  <c r="I147" i="15"/>
  <c r="H147" i="15"/>
  <c r="G147" i="15"/>
  <c r="F147" i="15"/>
  <c r="E147" i="15"/>
  <c r="C147" i="15"/>
  <c r="B147" i="15"/>
  <c r="D147" i="15" s="1"/>
  <c r="A147" i="15"/>
  <c r="P146" i="15"/>
  <c r="L146" i="15"/>
  <c r="K146" i="15"/>
  <c r="O146" i="15" s="1"/>
  <c r="J146" i="15"/>
  <c r="M146" i="15" s="1"/>
  <c r="N146" i="15" s="1"/>
  <c r="I146" i="15"/>
  <c r="H146" i="15"/>
  <c r="G146" i="15"/>
  <c r="F146" i="15"/>
  <c r="E146" i="15"/>
  <c r="C146" i="15"/>
  <c r="B146" i="15"/>
  <c r="D146" i="15" s="1"/>
  <c r="A146" i="15"/>
  <c r="P145" i="15"/>
  <c r="L145" i="15"/>
  <c r="K145" i="15"/>
  <c r="O145" i="15" s="1"/>
  <c r="J145" i="15"/>
  <c r="M145" i="15" s="1"/>
  <c r="N145" i="15" s="1"/>
  <c r="I145" i="15"/>
  <c r="H145" i="15"/>
  <c r="G145" i="15"/>
  <c r="F145" i="15"/>
  <c r="E145" i="15"/>
  <c r="C145" i="15"/>
  <c r="B145" i="15"/>
  <c r="D145" i="15" s="1"/>
  <c r="A145" i="15"/>
  <c r="P144" i="15"/>
  <c r="O144" i="15"/>
  <c r="L144" i="15"/>
  <c r="K144" i="15"/>
  <c r="J144" i="15"/>
  <c r="M144" i="15" s="1"/>
  <c r="N144" i="15" s="1"/>
  <c r="I144" i="15"/>
  <c r="H144" i="15"/>
  <c r="G144" i="15"/>
  <c r="F144" i="15"/>
  <c r="E144" i="15"/>
  <c r="C144" i="15"/>
  <c r="B144" i="15"/>
  <c r="D144" i="15" s="1"/>
  <c r="A144" i="15"/>
  <c r="P143" i="15"/>
  <c r="O143" i="15"/>
  <c r="L143" i="15"/>
  <c r="K143" i="15"/>
  <c r="J143" i="15"/>
  <c r="M143" i="15" s="1"/>
  <c r="N143" i="15" s="1"/>
  <c r="I143" i="15"/>
  <c r="H143" i="15"/>
  <c r="G143" i="15"/>
  <c r="F143" i="15"/>
  <c r="E143" i="15"/>
  <c r="C143" i="15"/>
  <c r="B143" i="15"/>
  <c r="D143" i="15" s="1"/>
  <c r="A143" i="15"/>
  <c r="P142" i="15"/>
  <c r="L142" i="15"/>
  <c r="K142" i="15"/>
  <c r="O142" i="15" s="1"/>
  <c r="J142" i="15"/>
  <c r="M142" i="15" s="1"/>
  <c r="N142" i="15" s="1"/>
  <c r="I142" i="15"/>
  <c r="H142" i="15"/>
  <c r="G142" i="15"/>
  <c r="F142" i="15"/>
  <c r="E142" i="15"/>
  <c r="C142" i="15"/>
  <c r="B142" i="15"/>
  <c r="D142" i="15" s="1"/>
  <c r="A142" i="15"/>
  <c r="P141" i="15"/>
  <c r="L141" i="15"/>
  <c r="K141" i="15"/>
  <c r="O141" i="15" s="1"/>
  <c r="J141" i="15"/>
  <c r="M141" i="15" s="1"/>
  <c r="N141" i="15" s="1"/>
  <c r="I141" i="15"/>
  <c r="H141" i="15"/>
  <c r="G141" i="15"/>
  <c r="F141" i="15"/>
  <c r="E141" i="15"/>
  <c r="C141" i="15"/>
  <c r="B141" i="15"/>
  <c r="D141" i="15" s="1"/>
  <c r="A141" i="15"/>
  <c r="P140" i="15"/>
  <c r="O140" i="15"/>
  <c r="L140" i="15"/>
  <c r="K140" i="15"/>
  <c r="J140" i="15"/>
  <c r="M140" i="15" s="1"/>
  <c r="N140" i="15" s="1"/>
  <c r="I140" i="15"/>
  <c r="H140" i="15"/>
  <c r="G140" i="15"/>
  <c r="F140" i="15"/>
  <c r="E140" i="15"/>
  <c r="C140" i="15"/>
  <c r="B140" i="15"/>
  <c r="D140" i="15" s="1"/>
  <c r="A140" i="15"/>
  <c r="P139" i="15"/>
  <c r="O139" i="15"/>
  <c r="L139" i="15"/>
  <c r="K139" i="15"/>
  <c r="J139" i="15"/>
  <c r="M139" i="15" s="1"/>
  <c r="N139" i="15" s="1"/>
  <c r="I139" i="15"/>
  <c r="H139" i="15"/>
  <c r="G139" i="15"/>
  <c r="F139" i="15"/>
  <c r="E139" i="15"/>
  <c r="C139" i="15"/>
  <c r="B139" i="15"/>
  <c r="D139" i="15" s="1"/>
  <c r="A139" i="15"/>
  <c r="P138" i="15"/>
  <c r="L138" i="15"/>
  <c r="K138" i="15"/>
  <c r="O138" i="15" s="1"/>
  <c r="J138" i="15"/>
  <c r="M138" i="15" s="1"/>
  <c r="N138" i="15" s="1"/>
  <c r="I138" i="15"/>
  <c r="H138" i="15"/>
  <c r="G138" i="15"/>
  <c r="F138" i="15"/>
  <c r="E138" i="15"/>
  <c r="C138" i="15"/>
  <c r="B138" i="15"/>
  <c r="D138" i="15" s="1"/>
  <c r="A138" i="15"/>
  <c r="P137" i="15"/>
  <c r="L137" i="15"/>
  <c r="K137" i="15"/>
  <c r="O137" i="15" s="1"/>
  <c r="J137" i="15"/>
  <c r="M137" i="15" s="1"/>
  <c r="N137" i="15" s="1"/>
  <c r="I137" i="15"/>
  <c r="H137" i="15"/>
  <c r="G137" i="15"/>
  <c r="F137" i="15"/>
  <c r="E137" i="15"/>
  <c r="C137" i="15"/>
  <c r="B137" i="15"/>
  <c r="D137" i="15" s="1"/>
  <c r="A137" i="15"/>
  <c r="P136" i="15"/>
  <c r="O136" i="15"/>
  <c r="L136" i="15"/>
  <c r="K136" i="15"/>
  <c r="J136" i="15"/>
  <c r="M136" i="15" s="1"/>
  <c r="N136" i="15" s="1"/>
  <c r="I136" i="15"/>
  <c r="H136" i="15"/>
  <c r="G136" i="15"/>
  <c r="F136" i="15"/>
  <c r="E136" i="15"/>
  <c r="C136" i="15"/>
  <c r="B136" i="15"/>
  <c r="D136" i="15" s="1"/>
  <c r="A136" i="15"/>
  <c r="P135" i="15"/>
  <c r="O135" i="15"/>
  <c r="L135" i="15"/>
  <c r="K135" i="15"/>
  <c r="J135" i="15"/>
  <c r="M135" i="15" s="1"/>
  <c r="N135" i="15" s="1"/>
  <c r="I135" i="15"/>
  <c r="H135" i="15"/>
  <c r="G135" i="15"/>
  <c r="F135" i="15"/>
  <c r="E135" i="15"/>
  <c r="C135" i="15"/>
  <c r="B135" i="15"/>
  <c r="D135" i="15" s="1"/>
  <c r="A135" i="15"/>
  <c r="P134" i="15"/>
  <c r="L134" i="15"/>
  <c r="K134" i="15"/>
  <c r="O134" i="15" s="1"/>
  <c r="J134" i="15"/>
  <c r="M134" i="15" s="1"/>
  <c r="N134" i="15" s="1"/>
  <c r="I134" i="15"/>
  <c r="H134" i="15"/>
  <c r="G134" i="15"/>
  <c r="F134" i="15"/>
  <c r="E134" i="15"/>
  <c r="C134" i="15"/>
  <c r="B134" i="15"/>
  <c r="D134" i="15" s="1"/>
  <c r="A134" i="15"/>
  <c r="L133" i="15"/>
  <c r="K133" i="15"/>
  <c r="O133" i="15" s="1"/>
  <c r="J133" i="15"/>
  <c r="M133" i="15" s="1"/>
  <c r="N133" i="15" s="1"/>
  <c r="I133" i="15"/>
  <c r="H133" i="15"/>
  <c r="G133" i="15"/>
  <c r="F133" i="15"/>
  <c r="E133" i="15"/>
  <c r="C133" i="15"/>
  <c r="B133" i="15"/>
  <c r="D133" i="15" s="1"/>
  <c r="A133" i="15"/>
  <c r="P133" i="15" s="1"/>
  <c r="L132" i="15"/>
  <c r="K132" i="15"/>
  <c r="O132" i="15" s="1"/>
  <c r="J132" i="15"/>
  <c r="M132" i="15" s="1"/>
  <c r="N132" i="15" s="1"/>
  <c r="I132" i="15"/>
  <c r="H132" i="15"/>
  <c r="G132" i="15"/>
  <c r="F132" i="15"/>
  <c r="E132" i="15"/>
  <c r="C132" i="15"/>
  <c r="B132" i="15"/>
  <c r="D132" i="15" s="1"/>
  <c r="A132" i="15"/>
  <c r="P132" i="15" s="1"/>
  <c r="L131" i="15"/>
  <c r="K131" i="15"/>
  <c r="O131" i="15" s="1"/>
  <c r="J131" i="15"/>
  <c r="M131" i="15" s="1"/>
  <c r="N131" i="15" s="1"/>
  <c r="I131" i="15"/>
  <c r="H131" i="15"/>
  <c r="G131" i="15"/>
  <c r="F131" i="15"/>
  <c r="E131" i="15"/>
  <c r="C131" i="15"/>
  <c r="B131" i="15"/>
  <c r="D131" i="15" s="1"/>
  <c r="A131" i="15"/>
  <c r="P131" i="15" s="1"/>
  <c r="L130" i="15"/>
  <c r="K130" i="15"/>
  <c r="O130" i="15" s="1"/>
  <c r="J130" i="15"/>
  <c r="M130" i="15" s="1"/>
  <c r="N130" i="15" s="1"/>
  <c r="I130" i="15"/>
  <c r="H130" i="15"/>
  <c r="G130" i="15"/>
  <c r="F130" i="15"/>
  <c r="E130" i="15"/>
  <c r="C130" i="15"/>
  <c r="B130" i="15"/>
  <c r="D130" i="15" s="1"/>
  <c r="A130" i="15"/>
  <c r="P130" i="15" s="1"/>
  <c r="L129" i="15"/>
  <c r="K129" i="15"/>
  <c r="O129" i="15" s="1"/>
  <c r="J129" i="15"/>
  <c r="M129" i="15" s="1"/>
  <c r="N129" i="15" s="1"/>
  <c r="I129" i="15"/>
  <c r="H129" i="15"/>
  <c r="G129" i="15"/>
  <c r="F129" i="15"/>
  <c r="E129" i="15"/>
  <c r="C129" i="15"/>
  <c r="B129" i="15"/>
  <c r="D129" i="15" s="1"/>
  <c r="A129" i="15"/>
  <c r="P129" i="15" s="1"/>
  <c r="L128" i="15"/>
  <c r="K128" i="15"/>
  <c r="O128" i="15" s="1"/>
  <c r="J128" i="15"/>
  <c r="M128" i="15" s="1"/>
  <c r="N128" i="15" s="1"/>
  <c r="I128" i="15"/>
  <c r="H128" i="15"/>
  <c r="G128" i="15"/>
  <c r="F128" i="15"/>
  <c r="E128" i="15"/>
  <c r="C128" i="15"/>
  <c r="B128" i="15"/>
  <c r="D128" i="15" s="1"/>
  <c r="A128" i="15"/>
  <c r="P128" i="15" s="1"/>
  <c r="L127" i="15"/>
  <c r="K127" i="15"/>
  <c r="O127" i="15" s="1"/>
  <c r="J127" i="15"/>
  <c r="M127" i="15" s="1"/>
  <c r="N127" i="15" s="1"/>
  <c r="I127" i="15"/>
  <c r="H127" i="15"/>
  <c r="G127" i="15"/>
  <c r="F127" i="15"/>
  <c r="E127" i="15"/>
  <c r="C127" i="15"/>
  <c r="B127" i="15"/>
  <c r="D127" i="15" s="1"/>
  <c r="A127" i="15"/>
  <c r="P127" i="15" s="1"/>
  <c r="L126" i="15"/>
  <c r="K126" i="15"/>
  <c r="O126" i="15" s="1"/>
  <c r="J126" i="15"/>
  <c r="M126" i="15" s="1"/>
  <c r="N126" i="15" s="1"/>
  <c r="I126" i="15"/>
  <c r="H126" i="15"/>
  <c r="G126" i="15"/>
  <c r="F126" i="15"/>
  <c r="E126" i="15"/>
  <c r="C126" i="15"/>
  <c r="B126" i="15"/>
  <c r="D126" i="15" s="1"/>
  <c r="A126" i="15"/>
  <c r="P126" i="15" s="1"/>
  <c r="L125" i="15"/>
  <c r="K125" i="15"/>
  <c r="O125" i="15" s="1"/>
  <c r="J125" i="15"/>
  <c r="M125" i="15" s="1"/>
  <c r="N125" i="15" s="1"/>
  <c r="I125" i="15"/>
  <c r="H125" i="15"/>
  <c r="G125" i="15"/>
  <c r="F125" i="15"/>
  <c r="E125" i="15"/>
  <c r="C125" i="15"/>
  <c r="B125" i="15"/>
  <c r="D125" i="15" s="1"/>
  <c r="A125" i="15"/>
  <c r="P125" i="15" s="1"/>
  <c r="L124" i="15"/>
  <c r="K124" i="15"/>
  <c r="O124" i="15" s="1"/>
  <c r="J124" i="15"/>
  <c r="M124" i="15" s="1"/>
  <c r="I124" i="15"/>
  <c r="H124" i="15"/>
  <c r="G124" i="15"/>
  <c r="F124" i="15"/>
  <c r="E124" i="15"/>
  <c r="D124" i="15"/>
  <c r="C124" i="15"/>
  <c r="B124" i="15"/>
  <c r="A124" i="15"/>
  <c r="P124" i="15" s="1"/>
  <c r="P123" i="15"/>
  <c r="O123" i="15"/>
  <c r="L123" i="15"/>
  <c r="N123" i="15" s="1"/>
  <c r="K123" i="15"/>
  <c r="J123" i="15"/>
  <c r="M123" i="15" s="1"/>
  <c r="I123" i="15"/>
  <c r="H123" i="15"/>
  <c r="G123" i="15"/>
  <c r="F123" i="15"/>
  <c r="E123" i="15"/>
  <c r="D123" i="15"/>
  <c r="C123" i="15"/>
  <c r="B123" i="15"/>
  <c r="A123" i="15"/>
  <c r="P122" i="15"/>
  <c r="L122" i="15"/>
  <c r="K122" i="15"/>
  <c r="O122" i="15" s="1"/>
  <c r="J122" i="15"/>
  <c r="M122" i="15" s="1"/>
  <c r="I122" i="15"/>
  <c r="H122" i="15"/>
  <c r="G122" i="15"/>
  <c r="F122" i="15"/>
  <c r="E122" i="15"/>
  <c r="D122" i="15"/>
  <c r="C122" i="15"/>
  <c r="B122" i="15"/>
  <c r="A122" i="15"/>
  <c r="P121" i="15"/>
  <c r="O121" i="15"/>
  <c r="L121" i="15"/>
  <c r="N121" i="15" s="1"/>
  <c r="K121" i="15"/>
  <c r="J121" i="15"/>
  <c r="M121" i="15" s="1"/>
  <c r="I121" i="15"/>
  <c r="H121" i="15"/>
  <c r="G121" i="15"/>
  <c r="F121" i="15"/>
  <c r="E121" i="15"/>
  <c r="D121" i="15"/>
  <c r="C121" i="15"/>
  <c r="B121" i="15"/>
  <c r="A121" i="15"/>
  <c r="P120" i="15"/>
  <c r="L120" i="15"/>
  <c r="K120" i="15"/>
  <c r="O120" i="15" s="1"/>
  <c r="J120" i="15"/>
  <c r="M120" i="15" s="1"/>
  <c r="I120" i="15"/>
  <c r="H120" i="15"/>
  <c r="G120" i="15"/>
  <c r="F120" i="15"/>
  <c r="E120" i="15"/>
  <c r="D120" i="15"/>
  <c r="C120" i="15"/>
  <c r="B120" i="15"/>
  <c r="A120" i="15"/>
  <c r="P119" i="15"/>
  <c r="O119" i="15"/>
  <c r="L119" i="15"/>
  <c r="N119" i="15" s="1"/>
  <c r="K119" i="15"/>
  <c r="J119" i="15"/>
  <c r="M119" i="15" s="1"/>
  <c r="I119" i="15"/>
  <c r="H119" i="15"/>
  <c r="G119" i="15"/>
  <c r="F119" i="15"/>
  <c r="E119" i="15"/>
  <c r="D119" i="15"/>
  <c r="C119" i="15"/>
  <c r="B119" i="15"/>
  <c r="A119" i="15"/>
  <c r="P118" i="15"/>
  <c r="L118" i="15"/>
  <c r="K118" i="15"/>
  <c r="O118" i="15" s="1"/>
  <c r="J118" i="15"/>
  <c r="M118" i="15" s="1"/>
  <c r="I118" i="15"/>
  <c r="H118" i="15"/>
  <c r="G118" i="15"/>
  <c r="F118" i="15"/>
  <c r="E118" i="15"/>
  <c r="D118" i="15"/>
  <c r="C118" i="15"/>
  <c r="B118" i="15"/>
  <c r="A118" i="15"/>
  <c r="P117" i="15"/>
  <c r="O117" i="15"/>
  <c r="L117" i="15"/>
  <c r="N117" i="15" s="1"/>
  <c r="K117" i="15"/>
  <c r="J117" i="15"/>
  <c r="M117" i="15" s="1"/>
  <c r="I117" i="15"/>
  <c r="H117" i="15"/>
  <c r="G117" i="15"/>
  <c r="F117" i="15"/>
  <c r="E117" i="15"/>
  <c r="D117" i="15"/>
  <c r="C117" i="15"/>
  <c r="B117" i="15"/>
  <c r="A117" i="15"/>
  <c r="P116" i="15"/>
  <c r="L116" i="15"/>
  <c r="K116" i="15"/>
  <c r="O116" i="15" s="1"/>
  <c r="J116" i="15"/>
  <c r="M116" i="15" s="1"/>
  <c r="I116" i="15"/>
  <c r="H116" i="15"/>
  <c r="G116" i="15"/>
  <c r="F116" i="15"/>
  <c r="E116" i="15"/>
  <c r="D116" i="15"/>
  <c r="C116" i="15"/>
  <c r="B116" i="15"/>
  <c r="A116" i="15"/>
  <c r="P115" i="15"/>
  <c r="O115" i="15"/>
  <c r="L115" i="15"/>
  <c r="N115" i="15" s="1"/>
  <c r="K115" i="15"/>
  <c r="J115" i="15"/>
  <c r="M115" i="15" s="1"/>
  <c r="I115" i="15"/>
  <c r="H115" i="15"/>
  <c r="G115" i="15"/>
  <c r="F115" i="15"/>
  <c r="E115" i="15"/>
  <c r="D115" i="15"/>
  <c r="C115" i="15"/>
  <c r="B115" i="15"/>
  <c r="A115" i="15"/>
  <c r="P114" i="15"/>
  <c r="L114" i="15"/>
  <c r="K114" i="15"/>
  <c r="O114" i="15" s="1"/>
  <c r="J114" i="15"/>
  <c r="M114" i="15" s="1"/>
  <c r="I114" i="15"/>
  <c r="H114" i="15"/>
  <c r="G114" i="15"/>
  <c r="F114" i="15"/>
  <c r="E114" i="15"/>
  <c r="D114" i="15"/>
  <c r="C114" i="15"/>
  <c r="B114" i="15"/>
  <c r="A114" i="15"/>
  <c r="P113" i="15"/>
  <c r="O113" i="15"/>
  <c r="L113" i="15"/>
  <c r="N113" i="15" s="1"/>
  <c r="K113" i="15"/>
  <c r="J113" i="15"/>
  <c r="M113" i="15" s="1"/>
  <c r="I113" i="15"/>
  <c r="H113" i="15"/>
  <c r="G113" i="15"/>
  <c r="F113" i="15"/>
  <c r="E113" i="15"/>
  <c r="D113" i="15"/>
  <c r="C113" i="15"/>
  <c r="B113" i="15"/>
  <c r="A113" i="15"/>
  <c r="P112" i="15"/>
  <c r="L112" i="15"/>
  <c r="K112" i="15"/>
  <c r="O112" i="15" s="1"/>
  <c r="J112" i="15"/>
  <c r="M112" i="15" s="1"/>
  <c r="I112" i="15"/>
  <c r="H112" i="15"/>
  <c r="G112" i="15"/>
  <c r="F112" i="15"/>
  <c r="E112" i="15"/>
  <c r="D112" i="15"/>
  <c r="C112" i="15"/>
  <c r="B112" i="15"/>
  <c r="A112" i="15"/>
  <c r="P111" i="15"/>
  <c r="O111" i="15"/>
  <c r="L111" i="15"/>
  <c r="N111" i="15" s="1"/>
  <c r="K111" i="15"/>
  <c r="J111" i="15"/>
  <c r="M111" i="15" s="1"/>
  <c r="I111" i="15"/>
  <c r="H111" i="15"/>
  <c r="G111" i="15"/>
  <c r="F111" i="15"/>
  <c r="E111" i="15"/>
  <c r="D111" i="15"/>
  <c r="C111" i="15"/>
  <c r="B111" i="15"/>
  <c r="A111" i="15"/>
  <c r="P110" i="15"/>
  <c r="L110" i="15"/>
  <c r="K110" i="15"/>
  <c r="O110" i="15" s="1"/>
  <c r="J110" i="15"/>
  <c r="M110" i="15" s="1"/>
  <c r="I110" i="15"/>
  <c r="H110" i="15"/>
  <c r="G110" i="15"/>
  <c r="F110" i="15"/>
  <c r="E110" i="15"/>
  <c r="D110" i="15"/>
  <c r="C110" i="15"/>
  <c r="B110" i="15"/>
  <c r="A110" i="15"/>
  <c r="P109" i="15"/>
  <c r="O109" i="15"/>
  <c r="L109" i="15"/>
  <c r="N109" i="15" s="1"/>
  <c r="K109" i="15"/>
  <c r="J109" i="15"/>
  <c r="M109" i="15" s="1"/>
  <c r="I109" i="15"/>
  <c r="H109" i="15"/>
  <c r="G109" i="15"/>
  <c r="F109" i="15"/>
  <c r="E109" i="15"/>
  <c r="D109" i="15"/>
  <c r="C109" i="15"/>
  <c r="B109" i="15"/>
  <c r="A109" i="15"/>
  <c r="P108" i="15"/>
  <c r="L108" i="15"/>
  <c r="K108" i="15"/>
  <c r="O108" i="15" s="1"/>
  <c r="J108" i="15"/>
  <c r="M108" i="15" s="1"/>
  <c r="I108" i="15"/>
  <c r="H108" i="15"/>
  <c r="G108" i="15"/>
  <c r="F108" i="15"/>
  <c r="E108" i="15"/>
  <c r="D108" i="15"/>
  <c r="C108" i="15"/>
  <c r="B108" i="15"/>
  <c r="A108" i="15"/>
  <c r="P107" i="15"/>
  <c r="O107" i="15"/>
  <c r="L107" i="15"/>
  <c r="N107" i="15" s="1"/>
  <c r="K107" i="15"/>
  <c r="J107" i="15"/>
  <c r="M107" i="15" s="1"/>
  <c r="I107" i="15"/>
  <c r="H107" i="15"/>
  <c r="G107" i="15"/>
  <c r="F107" i="15"/>
  <c r="E107" i="15"/>
  <c r="D107" i="15"/>
  <c r="C107" i="15"/>
  <c r="B107" i="15"/>
  <c r="A107" i="15"/>
  <c r="P106" i="15"/>
  <c r="L106" i="15"/>
  <c r="K106" i="15"/>
  <c r="O106" i="15" s="1"/>
  <c r="J106" i="15"/>
  <c r="M106" i="15" s="1"/>
  <c r="I106" i="15"/>
  <c r="H106" i="15"/>
  <c r="G106" i="15"/>
  <c r="F106" i="15"/>
  <c r="E106" i="15"/>
  <c r="D106" i="15"/>
  <c r="C106" i="15"/>
  <c r="B106" i="15"/>
  <c r="A106" i="15"/>
  <c r="P105" i="15"/>
  <c r="O105" i="15"/>
  <c r="L105" i="15"/>
  <c r="N105" i="15" s="1"/>
  <c r="K105" i="15"/>
  <c r="J105" i="15"/>
  <c r="M105" i="15" s="1"/>
  <c r="I105" i="15"/>
  <c r="H105" i="15"/>
  <c r="G105" i="15"/>
  <c r="F105" i="15"/>
  <c r="E105" i="15"/>
  <c r="D105" i="15"/>
  <c r="C105" i="15"/>
  <c r="B105" i="15"/>
  <c r="A105" i="15"/>
  <c r="P104" i="15"/>
  <c r="L104" i="15"/>
  <c r="K104" i="15"/>
  <c r="O104" i="15" s="1"/>
  <c r="J104" i="15"/>
  <c r="M104" i="15" s="1"/>
  <c r="I104" i="15"/>
  <c r="H104" i="15"/>
  <c r="G104" i="15"/>
  <c r="F104" i="15"/>
  <c r="E104" i="15"/>
  <c r="D104" i="15"/>
  <c r="C104" i="15"/>
  <c r="B104" i="15"/>
  <c r="A104" i="15"/>
  <c r="P103" i="15"/>
  <c r="O103" i="15"/>
  <c r="L103" i="15"/>
  <c r="N103" i="15" s="1"/>
  <c r="K103" i="15"/>
  <c r="J103" i="15"/>
  <c r="M103" i="15" s="1"/>
  <c r="I103" i="15"/>
  <c r="H103" i="15"/>
  <c r="G103" i="15"/>
  <c r="F103" i="15"/>
  <c r="E103" i="15"/>
  <c r="D103" i="15"/>
  <c r="C103" i="15"/>
  <c r="B103" i="15"/>
  <c r="A103" i="15"/>
  <c r="P102" i="15"/>
  <c r="L102" i="15"/>
  <c r="K102" i="15"/>
  <c r="O102" i="15" s="1"/>
  <c r="J102" i="15"/>
  <c r="M102" i="15" s="1"/>
  <c r="I102" i="15"/>
  <c r="H102" i="15"/>
  <c r="G102" i="15"/>
  <c r="F102" i="15"/>
  <c r="E102" i="15"/>
  <c r="D102" i="15"/>
  <c r="C102" i="15"/>
  <c r="B102" i="15"/>
  <c r="A102" i="15"/>
  <c r="P101" i="15"/>
  <c r="O101" i="15"/>
  <c r="L101" i="15"/>
  <c r="N101" i="15" s="1"/>
  <c r="K101" i="15"/>
  <c r="J101" i="15"/>
  <c r="M101" i="15" s="1"/>
  <c r="I101" i="15"/>
  <c r="H101" i="15"/>
  <c r="G101" i="15"/>
  <c r="F101" i="15"/>
  <c r="E101" i="15"/>
  <c r="D101" i="15"/>
  <c r="C101" i="15"/>
  <c r="B101" i="15"/>
  <c r="A101" i="15"/>
  <c r="P100" i="15"/>
  <c r="L100" i="15"/>
  <c r="K100" i="15"/>
  <c r="O100" i="15" s="1"/>
  <c r="J100" i="15"/>
  <c r="M100" i="15" s="1"/>
  <c r="I100" i="15"/>
  <c r="H100" i="15"/>
  <c r="G100" i="15"/>
  <c r="F100" i="15"/>
  <c r="E100" i="15"/>
  <c r="D100" i="15"/>
  <c r="C100" i="15"/>
  <c r="B100" i="15"/>
  <c r="A100" i="15"/>
  <c r="P99" i="15"/>
  <c r="O99" i="15"/>
  <c r="L99" i="15"/>
  <c r="N99" i="15" s="1"/>
  <c r="K99" i="15"/>
  <c r="J99" i="15"/>
  <c r="M99" i="15" s="1"/>
  <c r="I99" i="15"/>
  <c r="H99" i="15"/>
  <c r="G99" i="15"/>
  <c r="F99" i="15"/>
  <c r="E99" i="15"/>
  <c r="D99" i="15"/>
  <c r="C99" i="15"/>
  <c r="B99" i="15"/>
  <c r="A99" i="15"/>
  <c r="P98" i="15"/>
  <c r="L98" i="15"/>
  <c r="K98" i="15"/>
  <c r="O98" i="15" s="1"/>
  <c r="J98" i="15"/>
  <c r="M98" i="15" s="1"/>
  <c r="I98" i="15"/>
  <c r="H98" i="15"/>
  <c r="G98" i="15"/>
  <c r="F98" i="15"/>
  <c r="E98" i="15"/>
  <c r="D98" i="15"/>
  <c r="C98" i="15"/>
  <c r="B98" i="15"/>
  <c r="A98" i="15"/>
  <c r="P97" i="15"/>
  <c r="O97" i="15"/>
  <c r="L97" i="15"/>
  <c r="N97" i="15" s="1"/>
  <c r="K97" i="15"/>
  <c r="J97" i="15"/>
  <c r="M97" i="15" s="1"/>
  <c r="I97" i="15"/>
  <c r="H97" i="15"/>
  <c r="G97" i="15"/>
  <c r="F97" i="15"/>
  <c r="E97" i="15"/>
  <c r="D97" i="15"/>
  <c r="C97" i="15"/>
  <c r="B97" i="15"/>
  <c r="A97" i="15"/>
  <c r="P96" i="15"/>
  <c r="L96" i="15"/>
  <c r="K96" i="15"/>
  <c r="O96" i="15" s="1"/>
  <c r="J96" i="15"/>
  <c r="M96" i="15" s="1"/>
  <c r="I96" i="15"/>
  <c r="H96" i="15"/>
  <c r="G96" i="15"/>
  <c r="F96" i="15"/>
  <c r="E96" i="15"/>
  <c r="D96" i="15"/>
  <c r="C96" i="15"/>
  <c r="B96" i="15"/>
  <c r="A96" i="15"/>
  <c r="P95" i="15"/>
  <c r="O95" i="15"/>
  <c r="L95" i="15"/>
  <c r="N95" i="15" s="1"/>
  <c r="K95" i="15"/>
  <c r="J95" i="15"/>
  <c r="M95" i="15" s="1"/>
  <c r="I95" i="15"/>
  <c r="H95" i="15"/>
  <c r="G95" i="15"/>
  <c r="F95" i="15"/>
  <c r="E95" i="15"/>
  <c r="D95" i="15"/>
  <c r="C95" i="15"/>
  <c r="B95" i="15"/>
  <c r="A95" i="15"/>
  <c r="P94" i="15"/>
  <c r="L94" i="15"/>
  <c r="K94" i="15"/>
  <c r="O94" i="15" s="1"/>
  <c r="J94" i="15"/>
  <c r="M94" i="15" s="1"/>
  <c r="I94" i="15"/>
  <c r="H94" i="15"/>
  <c r="G94" i="15"/>
  <c r="F94" i="15"/>
  <c r="E94" i="15"/>
  <c r="D94" i="15"/>
  <c r="C94" i="15"/>
  <c r="B94" i="15"/>
  <c r="A94" i="15"/>
  <c r="P93" i="15"/>
  <c r="O93" i="15"/>
  <c r="L93" i="15"/>
  <c r="N93" i="15" s="1"/>
  <c r="K93" i="15"/>
  <c r="J93" i="15"/>
  <c r="M93" i="15" s="1"/>
  <c r="I93" i="15"/>
  <c r="H93" i="15"/>
  <c r="G93" i="15"/>
  <c r="F93" i="15"/>
  <c r="E93" i="15"/>
  <c r="D93" i="15"/>
  <c r="C93" i="15"/>
  <c r="B93" i="15"/>
  <c r="A93" i="15"/>
  <c r="P92" i="15"/>
  <c r="L92" i="15"/>
  <c r="K92" i="15"/>
  <c r="O92" i="15" s="1"/>
  <c r="J92" i="15"/>
  <c r="M92" i="15" s="1"/>
  <c r="I92" i="15"/>
  <c r="H92" i="15"/>
  <c r="G92" i="15"/>
  <c r="F92" i="15"/>
  <c r="E92" i="15"/>
  <c r="D92" i="15"/>
  <c r="C92" i="15"/>
  <c r="B92" i="15"/>
  <c r="A92" i="15"/>
  <c r="P91" i="15"/>
  <c r="O91" i="15"/>
  <c r="L91" i="15"/>
  <c r="N91" i="15" s="1"/>
  <c r="K91" i="15"/>
  <c r="J91" i="15"/>
  <c r="M91" i="15" s="1"/>
  <c r="I91" i="15"/>
  <c r="H91" i="15"/>
  <c r="G91" i="15"/>
  <c r="F91" i="15"/>
  <c r="E91" i="15"/>
  <c r="D91" i="15"/>
  <c r="C91" i="15"/>
  <c r="B91" i="15"/>
  <c r="A91" i="15"/>
  <c r="P90" i="15"/>
  <c r="L90" i="15"/>
  <c r="K90" i="15"/>
  <c r="O90" i="15" s="1"/>
  <c r="J90" i="15"/>
  <c r="M90" i="15" s="1"/>
  <c r="I90" i="15"/>
  <c r="H90" i="15"/>
  <c r="G90" i="15"/>
  <c r="F90" i="15"/>
  <c r="E90" i="15"/>
  <c r="D90" i="15"/>
  <c r="C90" i="15"/>
  <c r="B90" i="15"/>
  <c r="A90" i="15"/>
  <c r="P89" i="15"/>
  <c r="O89" i="15"/>
  <c r="L89" i="15"/>
  <c r="N89" i="15" s="1"/>
  <c r="K89" i="15"/>
  <c r="J89" i="15"/>
  <c r="M89" i="15" s="1"/>
  <c r="I89" i="15"/>
  <c r="H89" i="15"/>
  <c r="G89" i="15"/>
  <c r="F89" i="15"/>
  <c r="E89" i="15"/>
  <c r="D89" i="15"/>
  <c r="C89" i="15"/>
  <c r="B89" i="15"/>
  <c r="A89" i="15"/>
  <c r="P88" i="15"/>
  <c r="L88" i="15"/>
  <c r="K88" i="15"/>
  <c r="O88" i="15" s="1"/>
  <c r="J88" i="15"/>
  <c r="M88" i="15" s="1"/>
  <c r="I88" i="15"/>
  <c r="H88" i="15"/>
  <c r="G88" i="15"/>
  <c r="F88" i="15"/>
  <c r="E88" i="15"/>
  <c r="D88" i="15"/>
  <c r="C88" i="15"/>
  <c r="B88" i="15"/>
  <c r="A88" i="15"/>
  <c r="P87" i="15"/>
  <c r="O87" i="15"/>
  <c r="L87" i="15"/>
  <c r="N87" i="15" s="1"/>
  <c r="K87" i="15"/>
  <c r="J87" i="15"/>
  <c r="M87" i="15" s="1"/>
  <c r="I87" i="15"/>
  <c r="H87" i="15"/>
  <c r="G87" i="15"/>
  <c r="F87" i="15"/>
  <c r="E87" i="15"/>
  <c r="D87" i="15"/>
  <c r="C87" i="15"/>
  <c r="B87" i="15"/>
  <c r="A87" i="15"/>
  <c r="P86" i="15"/>
  <c r="L86" i="15"/>
  <c r="N86" i="15" s="1"/>
  <c r="K86" i="15"/>
  <c r="O86" i="15" s="1"/>
  <c r="J86" i="15"/>
  <c r="M86" i="15" s="1"/>
  <c r="I86" i="15"/>
  <c r="H86" i="15"/>
  <c r="G86" i="15"/>
  <c r="F86" i="15"/>
  <c r="E86" i="15"/>
  <c r="D86" i="15"/>
  <c r="C86" i="15"/>
  <c r="B86" i="15"/>
  <c r="A86" i="15"/>
  <c r="P85" i="15"/>
  <c r="O85" i="15"/>
  <c r="L85" i="15"/>
  <c r="K85" i="15"/>
  <c r="J85" i="15"/>
  <c r="M85" i="15" s="1"/>
  <c r="N85" i="15" s="1"/>
  <c r="I85" i="15"/>
  <c r="H85" i="15"/>
  <c r="G85" i="15"/>
  <c r="F85" i="15"/>
  <c r="E85" i="15"/>
  <c r="B85" i="15"/>
  <c r="D85" i="15" s="1"/>
  <c r="A85" i="15"/>
  <c r="P84" i="15"/>
  <c r="O84" i="15"/>
  <c r="N84" i="15"/>
  <c r="L84" i="15"/>
  <c r="K84" i="15"/>
  <c r="J84" i="15"/>
  <c r="M84" i="15" s="1"/>
  <c r="I84" i="15"/>
  <c r="H84" i="15"/>
  <c r="G84" i="15"/>
  <c r="F84" i="15"/>
  <c r="E84" i="15"/>
  <c r="B84" i="15"/>
  <c r="C84" i="15" s="1"/>
  <c r="A84" i="15"/>
  <c r="L83" i="15"/>
  <c r="N83" i="15" s="1"/>
  <c r="K83" i="15"/>
  <c r="O83" i="15" s="1"/>
  <c r="J83" i="15"/>
  <c r="M83" i="15" s="1"/>
  <c r="I83" i="15"/>
  <c r="H83" i="15"/>
  <c r="G83" i="15"/>
  <c r="F83" i="15"/>
  <c r="E83" i="15"/>
  <c r="D83" i="15"/>
  <c r="C83" i="15"/>
  <c r="B83" i="15"/>
  <c r="A83" i="15"/>
  <c r="P83" i="15" s="1"/>
  <c r="P82" i="15"/>
  <c r="M82" i="15"/>
  <c r="L82" i="15"/>
  <c r="N82" i="15" s="1"/>
  <c r="K82" i="15"/>
  <c r="O82" i="15" s="1"/>
  <c r="J82" i="15"/>
  <c r="I82" i="15"/>
  <c r="H82" i="15"/>
  <c r="G82" i="15"/>
  <c r="F82" i="15"/>
  <c r="E82" i="15"/>
  <c r="D82" i="15"/>
  <c r="C82" i="15"/>
  <c r="B82" i="15"/>
  <c r="A82" i="15"/>
  <c r="P81" i="15"/>
  <c r="M81" i="15"/>
  <c r="L81" i="15"/>
  <c r="N81" i="15" s="1"/>
  <c r="K81" i="15"/>
  <c r="O81" i="15" s="1"/>
  <c r="J81" i="15"/>
  <c r="I81" i="15"/>
  <c r="H81" i="15"/>
  <c r="G81" i="15"/>
  <c r="F81" i="15"/>
  <c r="E81" i="15"/>
  <c r="D81" i="15"/>
  <c r="C81" i="15"/>
  <c r="B81" i="15"/>
  <c r="A81" i="15"/>
  <c r="P80" i="15"/>
  <c r="M80" i="15"/>
  <c r="L80" i="15"/>
  <c r="N80" i="15" s="1"/>
  <c r="K80" i="15"/>
  <c r="O80" i="15" s="1"/>
  <c r="J80" i="15"/>
  <c r="I80" i="15"/>
  <c r="H80" i="15"/>
  <c r="G80" i="15"/>
  <c r="F80" i="15"/>
  <c r="E80" i="15"/>
  <c r="D80" i="15"/>
  <c r="C80" i="15"/>
  <c r="B80" i="15"/>
  <c r="A80" i="15"/>
  <c r="P79" i="15"/>
  <c r="M79" i="15"/>
  <c r="L79" i="15"/>
  <c r="N79" i="15" s="1"/>
  <c r="K79" i="15"/>
  <c r="O79" i="15" s="1"/>
  <c r="J79" i="15"/>
  <c r="I79" i="15"/>
  <c r="H79" i="15"/>
  <c r="G79" i="15"/>
  <c r="F79" i="15"/>
  <c r="E79" i="15"/>
  <c r="D79" i="15"/>
  <c r="C79" i="15"/>
  <c r="B79" i="15"/>
  <c r="A79" i="15"/>
  <c r="P78" i="15"/>
  <c r="M78" i="15"/>
  <c r="L78" i="15"/>
  <c r="N78" i="15" s="1"/>
  <c r="K78" i="15"/>
  <c r="O78" i="15" s="1"/>
  <c r="J78" i="15"/>
  <c r="I78" i="15"/>
  <c r="H78" i="15"/>
  <c r="G78" i="15"/>
  <c r="F78" i="15"/>
  <c r="E78" i="15"/>
  <c r="D78" i="15"/>
  <c r="C78" i="15"/>
  <c r="B78" i="15"/>
  <c r="A78" i="15"/>
  <c r="P77" i="15"/>
  <c r="M77" i="15"/>
  <c r="L77" i="15"/>
  <c r="N77" i="15" s="1"/>
  <c r="K77" i="15"/>
  <c r="O77" i="15" s="1"/>
  <c r="J77" i="15"/>
  <c r="I77" i="15"/>
  <c r="H77" i="15"/>
  <c r="G77" i="15"/>
  <c r="F77" i="15"/>
  <c r="E77" i="15"/>
  <c r="D77" i="15"/>
  <c r="C77" i="15"/>
  <c r="B77" i="15"/>
  <c r="A77" i="15"/>
  <c r="P76" i="15"/>
  <c r="M76" i="15"/>
  <c r="L76" i="15"/>
  <c r="N76" i="15" s="1"/>
  <c r="K76" i="15"/>
  <c r="O76" i="15" s="1"/>
  <c r="J76" i="15"/>
  <c r="I76" i="15"/>
  <c r="H76" i="15"/>
  <c r="G76" i="15"/>
  <c r="F76" i="15"/>
  <c r="E76" i="15"/>
  <c r="D76" i="15"/>
  <c r="C76" i="15"/>
  <c r="B76" i="15"/>
  <c r="A76" i="15"/>
  <c r="P75" i="15"/>
  <c r="M75" i="15"/>
  <c r="L75" i="15"/>
  <c r="N75" i="15" s="1"/>
  <c r="K75" i="15"/>
  <c r="O75" i="15" s="1"/>
  <c r="J75" i="15"/>
  <c r="I75" i="15"/>
  <c r="H75" i="15"/>
  <c r="G75" i="15"/>
  <c r="F75" i="15"/>
  <c r="E75" i="15"/>
  <c r="D75" i="15"/>
  <c r="C75" i="15"/>
  <c r="B75" i="15"/>
  <c r="A75" i="15"/>
  <c r="P74" i="15"/>
  <c r="M74" i="15"/>
  <c r="L74" i="15"/>
  <c r="N74" i="15" s="1"/>
  <c r="K74" i="15"/>
  <c r="O74" i="15" s="1"/>
  <c r="J74" i="15"/>
  <c r="I74" i="15"/>
  <c r="H74" i="15"/>
  <c r="G74" i="15"/>
  <c r="F74" i="15"/>
  <c r="E74" i="15"/>
  <c r="D74" i="15"/>
  <c r="C74" i="15"/>
  <c r="B74" i="15"/>
  <c r="A74" i="15"/>
  <c r="P73" i="15"/>
  <c r="M73" i="15"/>
  <c r="L73" i="15"/>
  <c r="N73" i="15" s="1"/>
  <c r="K73" i="15"/>
  <c r="O73" i="15" s="1"/>
  <c r="J73" i="15"/>
  <c r="I73" i="15"/>
  <c r="H73" i="15"/>
  <c r="G73" i="15"/>
  <c r="F73" i="15"/>
  <c r="E73" i="15"/>
  <c r="D73" i="15"/>
  <c r="C73" i="15"/>
  <c r="B73" i="15"/>
  <c r="A73" i="15"/>
  <c r="P72" i="15"/>
  <c r="M72" i="15"/>
  <c r="L72" i="15"/>
  <c r="N72" i="15" s="1"/>
  <c r="K72" i="15"/>
  <c r="O72" i="15" s="1"/>
  <c r="J72" i="15"/>
  <c r="I72" i="15"/>
  <c r="H72" i="15"/>
  <c r="G72" i="15"/>
  <c r="F72" i="15"/>
  <c r="E72" i="15"/>
  <c r="D72" i="15"/>
  <c r="C72" i="15"/>
  <c r="B72" i="15"/>
  <c r="A72" i="15"/>
  <c r="P71" i="15"/>
  <c r="M71" i="15"/>
  <c r="L71" i="15"/>
  <c r="N71" i="15" s="1"/>
  <c r="K71" i="15"/>
  <c r="O71" i="15" s="1"/>
  <c r="J71" i="15"/>
  <c r="I71" i="15"/>
  <c r="H71" i="15"/>
  <c r="G71" i="15"/>
  <c r="F71" i="15"/>
  <c r="E71" i="15"/>
  <c r="D71" i="15"/>
  <c r="C71" i="15"/>
  <c r="B71" i="15"/>
  <c r="A71" i="15"/>
  <c r="P70" i="15"/>
  <c r="M70" i="15"/>
  <c r="L70" i="15"/>
  <c r="N70" i="15" s="1"/>
  <c r="K70" i="15"/>
  <c r="O70" i="15" s="1"/>
  <c r="J70" i="15"/>
  <c r="I70" i="15"/>
  <c r="H70" i="15"/>
  <c r="G70" i="15"/>
  <c r="F70" i="15"/>
  <c r="E70" i="15"/>
  <c r="D70" i="15"/>
  <c r="C70" i="15"/>
  <c r="B70" i="15"/>
  <c r="A70" i="15"/>
  <c r="P69" i="15"/>
  <c r="M69" i="15"/>
  <c r="L69" i="15"/>
  <c r="N69" i="15" s="1"/>
  <c r="K69" i="15"/>
  <c r="O69" i="15" s="1"/>
  <c r="J69" i="15"/>
  <c r="I69" i="15"/>
  <c r="H69" i="15"/>
  <c r="G69" i="15"/>
  <c r="F69" i="15"/>
  <c r="E69" i="15"/>
  <c r="D69" i="15"/>
  <c r="C69" i="15"/>
  <c r="B69" i="15"/>
  <c r="A69" i="15"/>
  <c r="P68" i="15"/>
  <c r="M68" i="15"/>
  <c r="L68" i="15"/>
  <c r="N68" i="15" s="1"/>
  <c r="K68" i="15"/>
  <c r="O68" i="15" s="1"/>
  <c r="J68" i="15"/>
  <c r="I68" i="15"/>
  <c r="H68" i="15"/>
  <c r="G68" i="15"/>
  <c r="F68" i="15"/>
  <c r="E68" i="15"/>
  <c r="D68" i="15"/>
  <c r="C68" i="15"/>
  <c r="B68" i="15"/>
  <c r="A68" i="15"/>
  <c r="P67" i="15"/>
  <c r="M67" i="15"/>
  <c r="L67" i="15"/>
  <c r="N67" i="15" s="1"/>
  <c r="K67" i="15"/>
  <c r="O67" i="15" s="1"/>
  <c r="J67" i="15"/>
  <c r="I67" i="15"/>
  <c r="H67" i="15"/>
  <c r="G67" i="15"/>
  <c r="F67" i="15"/>
  <c r="E67" i="15"/>
  <c r="D67" i="15"/>
  <c r="C67" i="15"/>
  <c r="B67" i="15"/>
  <c r="A67" i="15"/>
  <c r="P66" i="15"/>
  <c r="M66" i="15"/>
  <c r="L66" i="15"/>
  <c r="N66" i="15" s="1"/>
  <c r="K66" i="15"/>
  <c r="O66" i="15" s="1"/>
  <c r="J66" i="15"/>
  <c r="I66" i="15"/>
  <c r="H66" i="15"/>
  <c r="G66" i="15"/>
  <c r="F66" i="15"/>
  <c r="E66" i="15"/>
  <c r="D66" i="15"/>
  <c r="C66" i="15"/>
  <c r="B66" i="15"/>
  <c r="A66" i="15"/>
  <c r="P65" i="15"/>
  <c r="M65" i="15"/>
  <c r="L65" i="15"/>
  <c r="N65" i="15" s="1"/>
  <c r="K65" i="15"/>
  <c r="O65" i="15" s="1"/>
  <c r="J65" i="15"/>
  <c r="I65" i="15"/>
  <c r="H65" i="15"/>
  <c r="G65" i="15"/>
  <c r="F65" i="15"/>
  <c r="E65" i="15"/>
  <c r="D65" i="15"/>
  <c r="C65" i="15"/>
  <c r="B65" i="15"/>
  <c r="A65" i="15"/>
  <c r="P64" i="15"/>
  <c r="M64" i="15"/>
  <c r="L64" i="15"/>
  <c r="N64" i="15" s="1"/>
  <c r="K64" i="15"/>
  <c r="O64" i="15" s="1"/>
  <c r="J64" i="15"/>
  <c r="I64" i="15"/>
  <c r="H64" i="15"/>
  <c r="G64" i="15"/>
  <c r="F64" i="15"/>
  <c r="E64" i="15"/>
  <c r="D64" i="15"/>
  <c r="C64" i="15"/>
  <c r="B64" i="15"/>
  <c r="A64" i="15"/>
  <c r="P63" i="15"/>
  <c r="M63" i="15"/>
  <c r="L63" i="15"/>
  <c r="N63" i="15" s="1"/>
  <c r="K63" i="15"/>
  <c r="O63" i="15" s="1"/>
  <c r="J63" i="15"/>
  <c r="I63" i="15"/>
  <c r="H63" i="15"/>
  <c r="G63" i="15"/>
  <c r="F63" i="15"/>
  <c r="E63" i="15"/>
  <c r="D63" i="15"/>
  <c r="C63" i="15"/>
  <c r="B63" i="15"/>
  <c r="A63" i="15"/>
  <c r="P62" i="15"/>
  <c r="M62" i="15"/>
  <c r="L62" i="15"/>
  <c r="N62" i="15" s="1"/>
  <c r="K62" i="15"/>
  <c r="O62" i="15" s="1"/>
  <c r="J62" i="15"/>
  <c r="I62" i="15"/>
  <c r="H62" i="15"/>
  <c r="G62" i="15"/>
  <c r="F62" i="15"/>
  <c r="E62" i="15"/>
  <c r="D62" i="15"/>
  <c r="C62" i="15"/>
  <c r="B62" i="15"/>
  <c r="A62" i="15"/>
  <c r="P61" i="15"/>
  <c r="M61" i="15"/>
  <c r="L61" i="15"/>
  <c r="N61" i="15" s="1"/>
  <c r="K61" i="15"/>
  <c r="O61" i="15" s="1"/>
  <c r="J61" i="15"/>
  <c r="I61" i="15"/>
  <c r="H61" i="15"/>
  <c r="G61" i="15"/>
  <c r="F61" i="15"/>
  <c r="E61" i="15"/>
  <c r="D61" i="15"/>
  <c r="C61" i="15"/>
  <c r="B61" i="15"/>
  <c r="A61" i="15"/>
  <c r="P60" i="15"/>
  <c r="M60" i="15"/>
  <c r="L60" i="15"/>
  <c r="N60" i="15" s="1"/>
  <c r="K60" i="15"/>
  <c r="O60" i="15" s="1"/>
  <c r="J60" i="15"/>
  <c r="I60" i="15"/>
  <c r="H60" i="15"/>
  <c r="G60" i="15"/>
  <c r="F60" i="15"/>
  <c r="E60" i="15"/>
  <c r="D60" i="15"/>
  <c r="C60" i="15"/>
  <c r="B60" i="15"/>
  <c r="A60" i="15"/>
  <c r="P59" i="15"/>
  <c r="M59" i="15"/>
  <c r="L59" i="15"/>
  <c r="N59" i="15" s="1"/>
  <c r="K59" i="15"/>
  <c r="O59" i="15" s="1"/>
  <c r="J59" i="15"/>
  <c r="I59" i="15"/>
  <c r="H59" i="15"/>
  <c r="G59" i="15"/>
  <c r="F59" i="15"/>
  <c r="E59" i="15"/>
  <c r="D59" i="15"/>
  <c r="C59" i="15"/>
  <c r="B59" i="15"/>
  <c r="A59" i="15"/>
  <c r="P58" i="15"/>
  <c r="M58" i="15"/>
  <c r="L58" i="15"/>
  <c r="N58" i="15" s="1"/>
  <c r="K58" i="15"/>
  <c r="O58" i="15" s="1"/>
  <c r="J58" i="15"/>
  <c r="I58" i="15"/>
  <c r="H58" i="15"/>
  <c r="G58" i="15"/>
  <c r="F58" i="15"/>
  <c r="E58" i="15"/>
  <c r="D58" i="15"/>
  <c r="C58" i="15"/>
  <c r="B58" i="15"/>
  <c r="A58" i="15"/>
  <c r="M57" i="15"/>
  <c r="L57" i="15"/>
  <c r="N57" i="15" s="1"/>
  <c r="K57" i="15"/>
  <c r="O57" i="15" s="1"/>
  <c r="J57" i="15"/>
  <c r="I57" i="15"/>
  <c r="H57" i="15"/>
  <c r="G57" i="15"/>
  <c r="F57" i="15"/>
  <c r="E57" i="15"/>
  <c r="D57" i="15"/>
  <c r="C57" i="15"/>
  <c r="B57" i="15"/>
  <c r="A57" i="15"/>
  <c r="P57" i="15" s="1"/>
  <c r="M56" i="15"/>
  <c r="L56" i="15"/>
  <c r="N56" i="15" s="1"/>
  <c r="K56" i="15"/>
  <c r="O56" i="15" s="1"/>
  <c r="J56" i="15"/>
  <c r="I56" i="15"/>
  <c r="H56" i="15"/>
  <c r="G56" i="15"/>
  <c r="F56" i="15"/>
  <c r="E56" i="15"/>
  <c r="D56" i="15"/>
  <c r="C56" i="15"/>
  <c r="B56" i="15"/>
  <c r="A56" i="15"/>
  <c r="P56" i="15" s="1"/>
  <c r="M55" i="15"/>
  <c r="L55" i="15"/>
  <c r="N55" i="15" s="1"/>
  <c r="K55" i="15"/>
  <c r="O55" i="15" s="1"/>
  <c r="J55" i="15"/>
  <c r="I55" i="15"/>
  <c r="H55" i="15"/>
  <c r="G55" i="15"/>
  <c r="F55" i="15"/>
  <c r="E55" i="15"/>
  <c r="D55" i="15"/>
  <c r="C55" i="15"/>
  <c r="B55" i="15"/>
  <c r="A55" i="15"/>
  <c r="P55" i="15" s="1"/>
  <c r="M54" i="15"/>
  <c r="L54" i="15"/>
  <c r="N54" i="15" s="1"/>
  <c r="K54" i="15"/>
  <c r="O54" i="15" s="1"/>
  <c r="J54" i="15"/>
  <c r="I54" i="15"/>
  <c r="H54" i="15"/>
  <c r="G54" i="15"/>
  <c r="F54" i="15"/>
  <c r="E54" i="15"/>
  <c r="D54" i="15"/>
  <c r="C54" i="15"/>
  <c r="B54" i="15"/>
  <c r="A54" i="15"/>
  <c r="P54" i="15" s="1"/>
  <c r="M53" i="15"/>
  <c r="L53" i="15"/>
  <c r="N53" i="15" s="1"/>
  <c r="K53" i="15"/>
  <c r="O53" i="15" s="1"/>
  <c r="J53" i="15"/>
  <c r="I53" i="15"/>
  <c r="H53" i="15"/>
  <c r="G53" i="15"/>
  <c r="F53" i="15"/>
  <c r="E53" i="15"/>
  <c r="D53" i="15"/>
  <c r="C53" i="15"/>
  <c r="B53" i="15"/>
  <c r="A53" i="15"/>
  <c r="P53" i="15" s="1"/>
  <c r="M52" i="15"/>
  <c r="L52" i="15"/>
  <c r="N52" i="15" s="1"/>
  <c r="K52" i="15"/>
  <c r="O52" i="15" s="1"/>
  <c r="J52" i="15"/>
  <c r="I52" i="15"/>
  <c r="H52" i="15"/>
  <c r="G52" i="15"/>
  <c r="F52" i="15"/>
  <c r="E52" i="15"/>
  <c r="D52" i="15"/>
  <c r="C52" i="15"/>
  <c r="B52" i="15"/>
  <c r="A52" i="15"/>
  <c r="P52" i="15" s="1"/>
  <c r="M51" i="15"/>
  <c r="L51" i="15"/>
  <c r="N51" i="15" s="1"/>
  <c r="K51" i="15"/>
  <c r="O51" i="15" s="1"/>
  <c r="J51" i="15"/>
  <c r="I51" i="15"/>
  <c r="H51" i="15"/>
  <c r="G51" i="15"/>
  <c r="F51" i="15"/>
  <c r="E51" i="15"/>
  <c r="D51" i="15"/>
  <c r="C51" i="15"/>
  <c r="B51" i="15"/>
  <c r="A51" i="15"/>
  <c r="P51" i="15" s="1"/>
  <c r="M50" i="15"/>
  <c r="L50" i="15"/>
  <c r="N50" i="15" s="1"/>
  <c r="K50" i="15"/>
  <c r="O50" i="15" s="1"/>
  <c r="J50" i="15"/>
  <c r="I50" i="15"/>
  <c r="H50" i="15"/>
  <c r="G50" i="15"/>
  <c r="F50" i="15"/>
  <c r="E50" i="15"/>
  <c r="D50" i="15"/>
  <c r="C50" i="15"/>
  <c r="B50" i="15"/>
  <c r="A50" i="15"/>
  <c r="P50" i="15" s="1"/>
  <c r="M49" i="15"/>
  <c r="L49" i="15"/>
  <c r="N49" i="15" s="1"/>
  <c r="K49" i="15"/>
  <c r="O49" i="15" s="1"/>
  <c r="J49" i="15"/>
  <c r="I49" i="15"/>
  <c r="H49" i="15"/>
  <c r="G49" i="15"/>
  <c r="F49" i="15"/>
  <c r="E49" i="15"/>
  <c r="D49" i="15"/>
  <c r="C49" i="15"/>
  <c r="B49" i="15"/>
  <c r="A49" i="15"/>
  <c r="P49" i="15" s="1"/>
  <c r="M48" i="15"/>
  <c r="L48" i="15"/>
  <c r="N48" i="15" s="1"/>
  <c r="K48" i="15"/>
  <c r="O48" i="15" s="1"/>
  <c r="J48" i="15"/>
  <c r="I48" i="15"/>
  <c r="H48" i="15"/>
  <c r="G48" i="15"/>
  <c r="F48" i="15"/>
  <c r="E48" i="15"/>
  <c r="D48" i="15"/>
  <c r="C48" i="15"/>
  <c r="B48" i="15"/>
  <c r="A48" i="15"/>
  <c r="P48" i="15" s="1"/>
  <c r="M47" i="15"/>
  <c r="L47" i="15"/>
  <c r="N47" i="15" s="1"/>
  <c r="K47" i="15"/>
  <c r="O47" i="15" s="1"/>
  <c r="J47" i="15"/>
  <c r="I47" i="15"/>
  <c r="H47" i="15"/>
  <c r="G47" i="15"/>
  <c r="F47" i="15"/>
  <c r="E47" i="15"/>
  <c r="D47" i="15"/>
  <c r="C47" i="15"/>
  <c r="B47" i="15"/>
  <c r="A47" i="15"/>
  <c r="P47" i="15" s="1"/>
  <c r="M46" i="15"/>
  <c r="L46" i="15"/>
  <c r="N46" i="15" s="1"/>
  <c r="K46" i="15"/>
  <c r="O46" i="15" s="1"/>
  <c r="J46" i="15"/>
  <c r="I46" i="15"/>
  <c r="H46" i="15"/>
  <c r="G46" i="15"/>
  <c r="F46" i="15"/>
  <c r="E46" i="15"/>
  <c r="D46" i="15"/>
  <c r="C46" i="15"/>
  <c r="B46" i="15"/>
  <c r="A46" i="15"/>
  <c r="P46" i="15" s="1"/>
  <c r="M45" i="15"/>
  <c r="L45" i="15"/>
  <c r="N45" i="15" s="1"/>
  <c r="K45" i="15"/>
  <c r="O45" i="15" s="1"/>
  <c r="J45" i="15"/>
  <c r="I45" i="15"/>
  <c r="H45" i="15"/>
  <c r="G45" i="15"/>
  <c r="F45" i="15"/>
  <c r="E45" i="15"/>
  <c r="D45" i="15"/>
  <c r="C45" i="15"/>
  <c r="B45" i="15"/>
  <c r="A45" i="15"/>
  <c r="P45" i="15" s="1"/>
  <c r="M44" i="15"/>
  <c r="L44" i="15"/>
  <c r="N44" i="15" s="1"/>
  <c r="K44" i="15"/>
  <c r="O44" i="15" s="1"/>
  <c r="J44" i="15"/>
  <c r="I44" i="15"/>
  <c r="H44" i="15"/>
  <c r="G44" i="15"/>
  <c r="F44" i="15"/>
  <c r="E44" i="15"/>
  <c r="D44" i="15"/>
  <c r="C44" i="15"/>
  <c r="B44" i="15"/>
  <c r="A44" i="15"/>
  <c r="P44" i="15" s="1"/>
  <c r="M43" i="15"/>
  <c r="L43" i="15"/>
  <c r="N43" i="15" s="1"/>
  <c r="K43" i="15"/>
  <c r="O43" i="15" s="1"/>
  <c r="J43" i="15"/>
  <c r="I43" i="15"/>
  <c r="H43" i="15"/>
  <c r="G43" i="15"/>
  <c r="F43" i="15"/>
  <c r="E43" i="15"/>
  <c r="D43" i="15"/>
  <c r="C43" i="15"/>
  <c r="B43" i="15"/>
  <c r="A43" i="15"/>
  <c r="P43" i="15" s="1"/>
  <c r="M42" i="15"/>
  <c r="L42" i="15"/>
  <c r="N42" i="15" s="1"/>
  <c r="K42" i="15"/>
  <c r="O42" i="15" s="1"/>
  <c r="J42" i="15"/>
  <c r="I42" i="15"/>
  <c r="H42" i="15"/>
  <c r="G42" i="15"/>
  <c r="F42" i="15"/>
  <c r="E42" i="15"/>
  <c r="D42" i="15"/>
  <c r="C42" i="15"/>
  <c r="B42" i="15"/>
  <c r="A42" i="15"/>
  <c r="P42" i="15" s="1"/>
  <c r="M41" i="15"/>
  <c r="L41" i="15"/>
  <c r="N41" i="15" s="1"/>
  <c r="K41" i="15"/>
  <c r="O41" i="15" s="1"/>
  <c r="J41" i="15"/>
  <c r="I41" i="15"/>
  <c r="H41" i="15"/>
  <c r="G41" i="15"/>
  <c r="F41" i="15"/>
  <c r="E41" i="15"/>
  <c r="D41" i="15"/>
  <c r="C41" i="15"/>
  <c r="B41" i="15"/>
  <c r="A41" i="15"/>
  <c r="P41" i="15" s="1"/>
  <c r="M40" i="15"/>
  <c r="L40" i="15"/>
  <c r="N40" i="15" s="1"/>
  <c r="K40" i="15"/>
  <c r="O40" i="15" s="1"/>
  <c r="J40" i="15"/>
  <c r="I40" i="15"/>
  <c r="H40" i="15"/>
  <c r="G40" i="15"/>
  <c r="F40" i="15"/>
  <c r="E40" i="15"/>
  <c r="D40" i="15"/>
  <c r="C40" i="15"/>
  <c r="B40" i="15"/>
  <c r="A40" i="15"/>
  <c r="P40" i="15" s="1"/>
  <c r="M39" i="15"/>
  <c r="L39" i="15"/>
  <c r="N39" i="15" s="1"/>
  <c r="K39" i="15"/>
  <c r="O39" i="15" s="1"/>
  <c r="J39" i="15"/>
  <c r="I39" i="15"/>
  <c r="H39" i="15"/>
  <c r="G39" i="15"/>
  <c r="F39" i="15"/>
  <c r="E39" i="15"/>
  <c r="D39" i="15"/>
  <c r="C39" i="15"/>
  <c r="B39" i="15"/>
  <c r="A39" i="15"/>
  <c r="P39" i="15" s="1"/>
  <c r="M38" i="15"/>
  <c r="L38" i="15"/>
  <c r="N38" i="15" s="1"/>
  <c r="K38" i="15"/>
  <c r="O38" i="15" s="1"/>
  <c r="J38" i="15"/>
  <c r="I38" i="15"/>
  <c r="H38" i="15"/>
  <c r="G38" i="15"/>
  <c r="F38" i="15"/>
  <c r="E38" i="15"/>
  <c r="D38" i="15"/>
  <c r="C38" i="15"/>
  <c r="B38" i="15"/>
  <c r="A38" i="15"/>
  <c r="P38" i="15" s="1"/>
  <c r="M37" i="15"/>
  <c r="L37" i="15"/>
  <c r="N37" i="15" s="1"/>
  <c r="K37" i="15"/>
  <c r="O37" i="15" s="1"/>
  <c r="J37" i="15"/>
  <c r="I37" i="15"/>
  <c r="H37" i="15"/>
  <c r="G37" i="15"/>
  <c r="F37" i="15"/>
  <c r="E37" i="15"/>
  <c r="D37" i="15"/>
  <c r="C37" i="15"/>
  <c r="B37" i="15"/>
  <c r="A37" i="15"/>
  <c r="P37" i="15" s="1"/>
  <c r="M36" i="15"/>
  <c r="L36" i="15"/>
  <c r="N36" i="15" s="1"/>
  <c r="K36" i="15"/>
  <c r="O36" i="15" s="1"/>
  <c r="J36" i="15"/>
  <c r="I36" i="15"/>
  <c r="H36" i="15"/>
  <c r="G36" i="15"/>
  <c r="F36" i="15"/>
  <c r="E36" i="15"/>
  <c r="D36" i="15"/>
  <c r="C36" i="15"/>
  <c r="B36" i="15"/>
  <c r="A36" i="15"/>
  <c r="P36" i="15" s="1"/>
  <c r="M35" i="15"/>
  <c r="L35" i="15"/>
  <c r="N35" i="15" s="1"/>
  <c r="K35" i="15"/>
  <c r="O35" i="15" s="1"/>
  <c r="J35" i="15"/>
  <c r="I35" i="15"/>
  <c r="H35" i="15"/>
  <c r="G35" i="15"/>
  <c r="F35" i="15"/>
  <c r="E35" i="15"/>
  <c r="D35" i="15"/>
  <c r="C35" i="15"/>
  <c r="B35" i="15"/>
  <c r="A35" i="15"/>
  <c r="P35" i="15" s="1"/>
  <c r="M34" i="15"/>
  <c r="L34" i="15"/>
  <c r="N34" i="15" s="1"/>
  <c r="K34" i="15"/>
  <c r="O34" i="15" s="1"/>
  <c r="J34" i="15"/>
  <c r="I34" i="15"/>
  <c r="H34" i="15"/>
  <c r="G34" i="15"/>
  <c r="F34" i="15"/>
  <c r="E34" i="15"/>
  <c r="D34" i="15"/>
  <c r="C34" i="15"/>
  <c r="B34" i="15"/>
  <c r="A34" i="15"/>
  <c r="P34" i="15" s="1"/>
  <c r="M33" i="15"/>
  <c r="L33" i="15"/>
  <c r="N33" i="15" s="1"/>
  <c r="K33" i="15"/>
  <c r="O33" i="15" s="1"/>
  <c r="J33" i="15"/>
  <c r="I33" i="15"/>
  <c r="H33" i="15"/>
  <c r="G33" i="15"/>
  <c r="F33" i="15"/>
  <c r="E33" i="15"/>
  <c r="D33" i="15"/>
  <c r="C33" i="15"/>
  <c r="B33" i="15"/>
  <c r="A33" i="15"/>
  <c r="P33" i="15" s="1"/>
  <c r="M32" i="15"/>
  <c r="L32" i="15"/>
  <c r="N32" i="15" s="1"/>
  <c r="K32" i="15"/>
  <c r="O32" i="15" s="1"/>
  <c r="J32" i="15"/>
  <c r="I32" i="15"/>
  <c r="H32" i="15"/>
  <c r="G32" i="15"/>
  <c r="F32" i="15"/>
  <c r="E32" i="15"/>
  <c r="D32" i="15"/>
  <c r="C32" i="15"/>
  <c r="B32" i="15"/>
  <c r="A32" i="15"/>
  <c r="P32" i="15" s="1"/>
  <c r="M31" i="15"/>
  <c r="L31" i="15"/>
  <c r="N31" i="15" s="1"/>
  <c r="K31" i="15"/>
  <c r="O31" i="15" s="1"/>
  <c r="J31" i="15"/>
  <c r="I31" i="15"/>
  <c r="H31" i="15"/>
  <c r="G31" i="15"/>
  <c r="F31" i="15"/>
  <c r="E31" i="15"/>
  <c r="D31" i="15"/>
  <c r="C31" i="15"/>
  <c r="B31" i="15"/>
  <c r="A31" i="15"/>
  <c r="P31" i="15" s="1"/>
  <c r="M30" i="15"/>
  <c r="L30" i="15"/>
  <c r="N30" i="15" s="1"/>
  <c r="K30" i="15"/>
  <c r="O30" i="15" s="1"/>
  <c r="J30" i="15"/>
  <c r="I30" i="15"/>
  <c r="H30" i="15"/>
  <c r="G30" i="15"/>
  <c r="F30" i="15"/>
  <c r="E30" i="15"/>
  <c r="D30" i="15"/>
  <c r="C30" i="15"/>
  <c r="B30" i="15"/>
  <c r="A30" i="15"/>
  <c r="P30" i="15" s="1"/>
  <c r="M29" i="15"/>
  <c r="L29" i="15"/>
  <c r="N29" i="15" s="1"/>
  <c r="K29" i="15"/>
  <c r="O29" i="15" s="1"/>
  <c r="J29" i="15"/>
  <c r="I29" i="15"/>
  <c r="H29" i="15"/>
  <c r="G29" i="15"/>
  <c r="F29" i="15"/>
  <c r="E29" i="15"/>
  <c r="D29" i="15"/>
  <c r="C29" i="15"/>
  <c r="B29" i="15"/>
  <c r="A29" i="15"/>
  <c r="P29" i="15" s="1"/>
  <c r="M28" i="15"/>
  <c r="L28" i="15"/>
  <c r="N28" i="15" s="1"/>
  <c r="K28" i="15"/>
  <c r="O28" i="15" s="1"/>
  <c r="J28" i="15"/>
  <c r="I28" i="15"/>
  <c r="H28" i="15"/>
  <c r="G28" i="15"/>
  <c r="F28" i="15"/>
  <c r="E28" i="15"/>
  <c r="D28" i="15"/>
  <c r="C28" i="15"/>
  <c r="B28" i="15"/>
  <c r="A28" i="15"/>
  <c r="P28" i="15" s="1"/>
  <c r="M27" i="15"/>
  <c r="L27" i="15"/>
  <c r="N27" i="15" s="1"/>
  <c r="K27" i="15"/>
  <c r="O27" i="15" s="1"/>
  <c r="J27" i="15"/>
  <c r="I27" i="15"/>
  <c r="H27" i="15"/>
  <c r="G27" i="15"/>
  <c r="F27" i="15"/>
  <c r="E27" i="15"/>
  <c r="D27" i="15"/>
  <c r="C27" i="15"/>
  <c r="B27" i="15"/>
  <c r="A27" i="15"/>
  <c r="P27" i="15" s="1"/>
  <c r="M26" i="15"/>
  <c r="L26" i="15"/>
  <c r="N26" i="15" s="1"/>
  <c r="K26" i="15"/>
  <c r="O26" i="15" s="1"/>
  <c r="J26" i="15"/>
  <c r="I26" i="15"/>
  <c r="H26" i="15"/>
  <c r="G26" i="15"/>
  <c r="F26" i="15"/>
  <c r="E26" i="15"/>
  <c r="D26" i="15"/>
  <c r="C26" i="15"/>
  <c r="B26" i="15"/>
  <c r="A26" i="15"/>
  <c r="P26" i="15" s="1"/>
  <c r="M25" i="15"/>
  <c r="L25" i="15"/>
  <c r="N25" i="15" s="1"/>
  <c r="K25" i="15"/>
  <c r="O25" i="15" s="1"/>
  <c r="J25" i="15"/>
  <c r="I25" i="15"/>
  <c r="H25" i="15"/>
  <c r="G25" i="15"/>
  <c r="F25" i="15"/>
  <c r="E25" i="15"/>
  <c r="D25" i="15"/>
  <c r="C25" i="15"/>
  <c r="B25" i="15"/>
  <c r="A25" i="15"/>
  <c r="P25" i="15" s="1"/>
  <c r="M24" i="15"/>
  <c r="L24" i="15"/>
  <c r="N24" i="15" s="1"/>
  <c r="K24" i="15"/>
  <c r="O24" i="15" s="1"/>
  <c r="J24" i="15"/>
  <c r="I24" i="15"/>
  <c r="H24" i="15"/>
  <c r="G24" i="15"/>
  <c r="F24" i="15"/>
  <c r="E24" i="15"/>
  <c r="D24" i="15"/>
  <c r="C24" i="15"/>
  <c r="B24" i="15"/>
  <c r="A24" i="15"/>
  <c r="P24" i="15" s="1"/>
  <c r="M23" i="15"/>
  <c r="L23" i="15"/>
  <c r="N23" i="15" s="1"/>
  <c r="K23" i="15"/>
  <c r="O23" i="15" s="1"/>
  <c r="J23" i="15"/>
  <c r="I23" i="15"/>
  <c r="H23" i="15"/>
  <c r="G23" i="15"/>
  <c r="F23" i="15"/>
  <c r="E23" i="15"/>
  <c r="D23" i="15"/>
  <c r="C23" i="15"/>
  <c r="B23" i="15"/>
  <c r="A23" i="15"/>
  <c r="P23" i="15" s="1"/>
  <c r="M22" i="15"/>
  <c r="L22" i="15"/>
  <c r="N22" i="15" s="1"/>
  <c r="K22" i="15"/>
  <c r="O22" i="15" s="1"/>
  <c r="J22" i="15"/>
  <c r="I22" i="15"/>
  <c r="H22" i="15"/>
  <c r="G22" i="15"/>
  <c r="F22" i="15"/>
  <c r="E22" i="15"/>
  <c r="D22" i="15"/>
  <c r="C22" i="15"/>
  <c r="B22" i="15"/>
  <c r="A22" i="15"/>
  <c r="P22" i="15" s="1"/>
  <c r="M21" i="15"/>
  <c r="L21" i="15"/>
  <c r="N21" i="15" s="1"/>
  <c r="K21" i="15"/>
  <c r="O21" i="15" s="1"/>
  <c r="J21" i="15"/>
  <c r="I21" i="15"/>
  <c r="H21" i="15"/>
  <c r="G21" i="15"/>
  <c r="F21" i="15"/>
  <c r="E21" i="15"/>
  <c r="D21" i="15"/>
  <c r="C21" i="15"/>
  <c r="B21" i="15"/>
  <c r="A21" i="15"/>
  <c r="P21" i="15" s="1"/>
  <c r="M20" i="15"/>
  <c r="L20" i="15"/>
  <c r="N20" i="15" s="1"/>
  <c r="K20" i="15"/>
  <c r="O20" i="15" s="1"/>
  <c r="J20" i="15"/>
  <c r="I20" i="15"/>
  <c r="H20" i="15"/>
  <c r="G20" i="15"/>
  <c r="F20" i="15"/>
  <c r="E20" i="15"/>
  <c r="D20" i="15"/>
  <c r="C20" i="15"/>
  <c r="B20" i="15"/>
  <c r="A20" i="15"/>
  <c r="P20" i="15" s="1"/>
  <c r="M19" i="15"/>
  <c r="L19" i="15"/>
  <c r="N19" i="15" s="1"/>
  <c r="K19" i="15"/>
  <c r="O19" i="15" s="1"/>
  <c r="J19" i="15"/>
  <c r="I19" i="15"/>
  <c r="H19" i="15"/>
  <c r="G19" i="15"/>
  <c r="F19" i="15"/>
  <c r="E19" i="15"/>
  <c r="D19" i="15"/>
  <c r="C19" i="15"/>
  <c r="B19" i="15"/>
  <c r="A19" i="15"/>
  <c r="P19" i="15" s="1"/>
  <c r="M18" i="15"/>
  <c r="L18" i="15"/>
  <c r="N18" i="15" s="1"/>
  <c r="K18" i="15"/>
  <c r="O18" i="15" s="1"/>
  <c r="J18" i="15"/>
  <c r="I18" i="15"/>
  <c r="H18" i="15"/>
  <c r="G18" i="15"/>
  <c r="F18" i="15"/>
  <c r="E18" i="15"/>
  <c r="D18" i="15"/>
  <c r="C18" i="15"/>
  <c r="B18" i="15"/>
  <c r="A18" i="15"/>
  <c r="P18" i="15" s="1"/>
  <c r="M17" i="15"/>
  <c r="L17" i="15"/>
  <c r="N17" i="15" s="1"/>
  <c r="K17" i="15"/>
  <c r="O17" i="15" s="1"/>
  <c r="J17" i="15"/>
  <c r="I17" i="15"/>
  <c r="H17" i="15"/>
  <c r="G17" i="15"/>
  <c r="F17" i="15"/>
  <c r="E17" i="15"/>
  <c r="D17" i="15"/>
  <c r="C17" i="15"/>
  <c r="B17" i="15"/>
  <c r="A17" i="15"/>
  <c r="P17" i="15" s="1"/>
  <c r="M16" i="15"/>
  <c r="L16" i="15"/>
  <c r="N16" i="15" s="1"/>
  <c r="K16" i="15"/>
  <c r="O16" i="15" s="1"/>
  <c r="J16" i="15"/>
  <c r="I16" i="15"/>
  <c r="H16" i="15"/>
  <c r="G16" i="15"/>
  <c r="F16" i="15"/>
  <c r="E16" i="15"/>
  <c r="D16" i="15"/>
  <c r="C16" i="15"/>
  <c r="B16" i="15"/>
  <c r="A16" i="15"/>
  <c r="P16" i="15" s="1"/>
  <c r="M15" i="15"/>
  <c r="L15" i="15"/>
  <c r="N15" i="15" s="1"/>
  <c r="K15" i="15"/>
  <c r="O15" i="15" s="1"/>
  <c r="J15" i="15"/>
  <c r="I15" i="15"/>
  <c r="H15" i="15"/>
  <c r="G15" i="15"/>
  <c r="F15" i="15"/>
  <c r="E15" i="15"/>
  <c r="D15" i="15"/>
  <c r="C15" i="15"/>
  <c r="B15" i="15"/>
  <c r="A15" i="15"/>
  <c r="P15" i="15" s="1"/>
  <c r="M14" i="15"/>
  <c r="L14" i="15"/>
  <c r="N14" i="15" s="1"/>
  <c r="K14" i="15"/>
  <c r="O14" i="15" s="1"/>
  <c r="J14" i="15"/>
  <c r="I14" i="15"/>
  <c r="H14" i="15"/>
  <c r="G14" i="15"/>
  <c r="F14" i="15"/>
  <c r="E14" i="15"/>
  <c r="D14" i="15"/>
  <c r="C14" i="15"/>
  <c r="B14" i="15"/>
  <c r="A14" i="15"/>
  <c r="P14" i="15" s="1"/>
  <c r="M13" i="15"/>
  <c r="L13" i="15"/>
  <c r="N13" i="15" s="1"/>
  <c r="K13" i="15"/>
  <c r="O13" i="15" s="1"/>
  <c r="J13" i="15"/>
  <c r="I13" i="15"/>
  <c r="H13" i="15"/>
  <c r="G13" i="15"/>
  <c r="F13" i="15"/>
  <c r="E13" i="15"/>
  <c r="D13" i="15"/>
  <c r="C13" i="15"/>
  <c r="B13" i="15"/>
  <c r="A13" i="15"/>
  <c r="P13" i="15" s="1"/>
  <c r="M12" i="15"/>
  <c r="L12" i="15"/>
  <c r="N12" i="15" s="1"/>
  <c r="K12" i="15"/>
  <c r="O12" i="15" s="1"/>
  <c r="J12" i="15"/>
  <c r="I12" i="15"/>
  <c r="H12" i="15"/>
  <c r="G12" i="15"/>
  <c r="F12" i="15"/>
  <c r="E12" i="15"/>
  <c r="D12" i="15"/>
  <c r="C12" i="15"/>
  <c r="B12" i="15"/>
  <c r="A12" i="15"/>
  <c r="P12" i="15" s="1"/>
  <c r="M11" i="15"/>
  <c r="L11" i="15"/>
  <c r="N11" i="15" s="1"/>
  <c r="K11" i="15"/>
  <c r="O11" i="15" s="1"/>
  <c r="J11" i="15"/>
  <c r="I11" i="15"/>
  <c r="H11" i="15"/>
  <c r="G11" i="15"/>
  <c r="F11" i="15"/>
  <c r="E11" i="15"/>
  <c r="D11" i="15"/>
  <c r="C11" i="15"/>
  <c r="B11" i="15"/>
  <c r="A11" i="15"/>
  <c r="P11" i="15" s="1"/>
  <c r="M10" i="15"/>
  <c r="L10" i="15"/>
  <c r="N10" i="15" s="1"/>
  <c r="K10" i="15"/>
  <c r="O10" i="15" s="1"/>
  <c r="J10" i="15"/>
  <c r="I10" i="15"/>
  <c r="H10" i="15"/>
  <c r="G10" i="15"/>
  <c r="F10" i="15"/>
  <c r="E10" i="15"/>
  <c r="D10" i="15"/>
  <c r="C10" i="15"/>
  <c r="B10" i="15"/>
  <c r="A10" i="15"/>
  <c r="P10" i="15" s="1"/>
  <c r="M9" i="15"/>
  <c r="L9" i="15"/>
  <c r="N9" i="15" s="1"/>
  <c r="K9" i="15"/>
  <c r="O9" i="15" s="1"/>
  <c r="J9" i="15"/>
  <c r="I9" i="15"/>
  <c r="H9" i="15"/>
  <c r="G9" i="15"/>
  <c r="F9" i="15"/>
  <c r="E9" i="15"/>
  <c r="D9" i="15"/>
  <c r="C9" i="15"/>
  <c r="B9" i="15"/>
  <c r="A9" i="15"/>
  <c r="P9" i="15" s="1"/>
  <c r="M8" i="15"/>
  <c r="L8" i="15"/>
  <c r="N8" i="15" s="1"/>
  <c r="K8" i="15"/>
  <c r="O8" i="15" s="1"/>
  <c r="J8" i="15"/>
  <c r="I8" i="15"/>
  <c r="H8" i="15"/>
  <c r="G8" i="15"/>
  <c r="F8" i="15"/>
  <c r="E8" i="15"/>
  <c r="D8" i="15"/>
  <c r="C8" i="15"/>
  <c r="B8" i="15"/>
  <c r="A8" i="15"/>
  <c r="P8" i="15" s="1"/>
  <c r="M7" i="15"/>
  <c r="L7" i="15"/>
  <c r="N7" i="15" s="1"/>
  <c r="K7" i="15"/>
  <c r="O7" i="15" s="1"/>
  <c r="J7" i="15"/>
  <c r="I7" i="15"/>
  <c r="H7" i="15"/>
  <c r="G7" i="15"/>
  <c r="F7" i="15"/>
  <c r="E7" i="15"/>
  <c r="D7" i="15"/>
  <c r="C7" i="15"/>
  <c r="B7" i="15"/>
  <c r="A7" i="15"/>
  <c r="P7" i="15" s="1"/>
  <c r="M6" i="15"/>
  <c r="L6" i="15"/>
  <c r="N6" i="15" s="1"/>
  <c r="K6" i="15"/>
  <c r="O6" i="15" s="1"/>
  <c r="J6" i="15"/>
  <c r="I6" i="15"/>
  <c r="H6" i="15"/>
  <c r="G6" i="15"/>
  <c r="F6" i="15"/>
  <c r="E6" i="15"/>
  <c r="D6" i="15"/>
  <c r="C6" i="15"/>
  <c r="B6" i="15"/>
  <c r="A6" i="15"/>
  <c r="P6" i="15" s="1"/>
  <c r="M5" i="15"/>
  <c r="L5" i="15"/>
  <c r="N5" i="15" s="1"/>
  <c r="K5" i="15"/>
  <c r="O5" i="15" s="1"/>
  <c r="J5" i="15"/>
  <c r="I5" i="15"/>
  <c r="H5" i="15"/>
  <c r="G5" i="15"/>
  <c r="F5" i="15"/>
  <c r="E5" i="15"/>
  <c r="D5" i="15"/>
  <c r="C5" i="15"/>
  <c r="B5" i="15"/>
  <c r="A5" i="15"/>
  <c r="P5" i="15" s="1"/>
  <c r="M4" i="15"/>
  <c r="L4" i="15"/>
  <c r="N4" i="15" s="1"/>
  <c r="K4" i="15"/>
  <c r="O4" i="15" s="1"/>
  <c r="J4" i="15"/>
  <c r="I4" i="15"/>
  <c r="H4" i="15"/>
  <c r="G4" i="15"/>
  <c r="F4" i="15"/>
  <c r="E4" i="15"/>
  <c r="D4" i="15"/>
  <c r="C4" i="15"/>
  <c r="B4" i="15"/>
  <c r="A4" i="15"/>
  <c r="P4" i="15" s="1"/>
  <c r="M3" i="15"/>
  <c r="L3" i="15"/>
  <c r="N3" i="15" s="1"/>
  <c r="K3" i="15"/>
  <c r="O3" i="15" s="1"/>
  <c r="J3" i="15"/>
  <c r="I3" i="15"/>
  <c r="H3" i="15"/>
  <c r="G3" i="15"/>
  <c r="F3" i="15"/>
  <c r="E3" i="15"/>
  <c r="D3" i="15"/>
  <c r="C3" i="15"/>
  <c r="B3" i="15"/>
  <c r="A3" i="15"/>
  <c r="P3" i="15" s="1"/>
  <c r="M2" i="15"/>
  <c r="L2" i="15"/>
  <c r="N2" i="15" s="1"/>
  <c r="K2" i="15"/>
  <c r="O2" i="15" s="1"/>
  <c r="J2" i="15"/>
  <c r="I2" i="15"/>
  <c r="G14" i="17" s="1"/>
  <c r="H2" i="15"/>
  <c r="G2" i="15"/>
  <c r="F2" i="15"/>
  <c r="E2" i="15"/>
  <c r="D2" i="15"/>
  <c r="B2" i="15"/>
  <c r="C2" i="15" s="1"/>
  <c r="A2" i="15"/>
  <c r="P2" i="15" s="1"/>
  <c r="C5" i="12"/>
  <c r="C13" i="12" s="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31" i="5"/>
  <c r="C32" i="5" s="1"/>
  <c r="C33" i="5" s="1"/>
  <c r="C30" i="5"/>
  <c r="AW3" i="14"/>
  <c r="B96" i="16" l="1"/>
  <c r="B92" i="16"/>
  <c r="B64" i="16"/>
  <c r="B53" i="16"/>
  <c r="B49" i="16"/>
  <c r="B99" i="16"/>
  <c r="B95" i="16"/>
  <c r="B63" i="16"/>
  <c r="B52" i="16"/>
  <c r="B48" i="16"/>
  <c r="B4" i="16"/>
  <c r="B71" i="16" s="1"/>
  <c r="B98" i="16"/>
  <c r="B94" i="16"/>
  <c r="B90" i="16"/>
  <c r="B66" i="16"/>
  <c r="B51" i="16"/>
  <c r="B47" i="16"/>
  <c r="B41" i="16"/>
  <c r="B40" i="16"/>
  <c r="B39" i="16"/>
  <c r="B38" i="16"/>
  <c r="B37" i="16"/>
  <c r="B15" i="16"/>
  <c r="BC7" i="14" s="1"/>
  <c r="B3" i="16"/>
  <c r="B93" i="16"/>
  <c r="B89" i="16"/>
  <c r="B65" i="16"/>
  <c r="B50" i="16"/>
  <c r="D33" i="16"/>
  <c r="D29" i="16"/>
  <c r="D25" i="16"/>
  <c r="B14" i="16"/>
  <c r="C11" i="12"/>
  <c r="C12" i="12" s="1"/>
  <c r="C14" i="12" s="1"/>
  <c r="D84" i="15"/>
  <c r="C85" i="15"/>
  <c r="G15" i="17" s="1"/>
  <c r="G12" i="17"/>
  <c r="G16" i="17"/>
  <c r="G13" i="17"/>
  <c r="N88" i="15"/>
  <c r="C52" i="16" s="1"/>
  <c r="N90" i="15"/>
  <c r="C51" i="16" s="1"/>
  <c r="N92" i="15"/>
  <c r="N94" i="15"/>
  <c r="C37" i="16" s="1"/>
  <c r="N96" i="15"/>
  <c r="N98" i="15"/>
  <c r="C39" i="16" s="1"/>
  <c r="N100" i="15"/>
  <c r="N102" i="15"/>
  <c r="C40" i="16" s="1"/>
  <c r="N104" i="15"/>
  <c r="C48" i="16" s="1"/>
  <c r="N106" i="15"/>
  <c r="N108" i="15"/>
  <c r="N110" i="15"/>
  <c r="N112" i="15"/>
  <c r="N114" i="15"/>
  <c r="N116" i="15"/>
  <c r="N118" i="15"/>
  <c r="N120" i="15"/>
  <c r="N122" i="15"/>
  <c r="C47" i="16" s="1"/>
  <c r="N124" i="15"/>
  <c r="N184" i="15"/>
  <c r="C50" i="16" s="1"/>
  <c r="N186" i="15"/>
  <c r="N188" i="15"/>
  <c r="N190" i="15"/>
  <c r="N192" i="15"/>
  <c r="C394" i="15"/>
  <c r="D394" i="15"/>
  <c r="N196" i="15"/>
  <c r="N200" i="15"/>
  <c r="N204" i="15"/>
  <c r="N208" i="15"/>
  <c r="N212" i="15"/>
  <c r="N216" i="15"/>
  <c r="N220" i="15"/>
  <c r="N224" i="15"/>
  <c r="N228" i="15"/>
  <c r="N232" i="15"/>
  <c r="N236" i="15"/>
  <c r="N240" i="15"/>
  <c r="N244" i="15"/>
  <c r="N287" i="15"/>
  <c r="N291" i="15"/>
  <c r="N295" i="15"/>
  <c r="N299" i="15"/>
  <c r="N303" i="15"/>
  <c r="N307" i="15"/>
  <c r="N311" i="15"/>
  <c r="N315" i="15"/>
  <c r="N319" i="15"/>
  <c r="N323" i="15"/>
  <c r="N327" i="15"/>
  <c r="N331" i="15"/>
  <c r="N335" i="15"/>
  <c r="N339" i="15"/>
  <c r="N343" i="15"/>
  <c r="N344" i="15"/>
  <c r="C345" i="15"/>
  <c r="D31" i="16" s="1"/>
  <c r="D345" i="15"/>
  <c r="N346" i="15"/>
  <c r="C347" i="15"/>
  <c r="D347" i="15"/>
  <c r="N348" i="15"/>
  <c r="C349" i="15"/>
  <c r="D349" i="15"/>
  <c r="N195" i="15"/>
  <c r="N199" i="15"/>
  <c r="N203" i="15"/>
  <c r="N207" i="15"/>
  <c r="N211" i="15"/>
  <c r="N215" i="15"/>
  <c r="N219" i="15"/>
  <c r="N223" i="15"/>
  <c r="N227" i="15"/>
  <c r="N231" i="15"/>
  <c r="N235" i="15"/>
  <c r="N239" i="15"/>
  <c r="N243" i="15"/>
  <c r="N247" i="15"/>
  <c r="N288" i="15"/>
  <c r="N292" i="15"/>
  <c r="N296" i="15"/>
  <c r="N300" i="15"/>
  <c r="N304" i="15"/>
  <c r="N308" i="15"/>
  <c r="N312" i="15"/>
  <c r="N316" i="15"/>
  <c r="N320" i="15"/>
  <c r="N324" i="15"/>
  <c r="N328" i="15"/>
  <c r="N332" i="15"/>
  <c r="N336" i="15"/>
  <c r="N340" i="15"/>
  <c r="N351" i="15"/>
  <c r="N355" i="15"/>
  <c r="N359" i="15"/>
  <c r="N363" i="15"/>
  <c r="N349" i="15"/>
  <c r="N353" i="15"/>
  <c r="N357" i="15"/>
  <c r="N361" i="15"/>
  <c r="N365" i="15"/>
  <c r="N366" i="15"/>
  <c r="N367" i="15"/>
  <c r="N368" i="15"/>
  <c r="N369" i="15"/>
  <c r="N370" i="15"/>
  <c r="N371" i="15"/>
  <c r="N372" i="15"/>
  <c r="N373" i="15"/>
  <c r="N374" i="15"/>
  <c r="N375" i="15"/>
  <c r="N376" i="15"/>
  <c r="N377" i="15"/>
  <c r="N378" i="15"/>
  <c r="N379" i="15"/>
  <c r="N380" i="15"/>
  <c r="N381" i="15"/>
  <c r="N382" i="15"/>
  <c r="N383" i="15"/>
  <c r="N350" i="15"/>
  <c r="N354" i="15"/>
  <c r="N358" i="15"/>
  <c r="N362" i="15"/>
  <c r="C393" i="15"/>
  <c r="D393" i="15"/>
  <c r="C397" i="15"/>
  <c r="D397" i="15"/>
  <c r="D384" i="15"/>
  <c r="C385" i="15"/>
  <c r="D385" i="15"/>
  <c r="C386" i="15"/>
  <c r="D386" i="15"/>
  <c r="C387" i="15"/>
  <c r="D387" i="15"/>
  <c r="C388" i="15"/>
  <c r="D388" i="15"/>
  <c r="C389" i="15"/>
  <c r="D389" i="15"/>
  <c r="C390" i="15"/>
  <c r="D390" i="15"/>
  <c r="C391" i="15"/>
  <c r="D391" i="15"/>
  <c r="C392" i="15"/>
  <c r="D392" i="15"/>
  <c r="C396" i="15"/>
  <c r="D396" i="15"/>
  <c r="C395" i="15"/>
  <c r="D395" i="15"/>
  <c r="H31" i="16" l="1"/>
  <c r="C15" i="12"/>
  <c r="C16" i="12" s="1"/>
  <c r="C17" i="12" s="1"/>
  <c r="D26" i="16"/>
  <c r="D37" i="16"/>
  <c r="B106" i="16"/>
  <c r="E37" i="16"/>
  <c r="E41" i="16"/>
  <c r="B21" i="16"/>
  <c r="B91" i="16"/>
  <c r="B97" i="16" s="1"/>
  <c r="B116" i="16" s="1"/>
  <c r="B16" i="16"/>
  <c r="B117" i="16" s="1"/>
  <c r="K8" i="14" s="1"/>
  <c r="E32" i="16"/>
  <c r="C53" i="16"/>
  <c r="B123" i="16"/>
  <c r="AM51" i="14" s="1"/>
  <c r="B57" i="16"/>
  <c r="B5" i="16"/>
  <c r="B70" i="16"/>
  <c r="B8" i="16"/>
  <c r="B73" i="16" s="1"/>
  <c r="B58" i="16"/>
  <c r="B6" i="16"/>
  <c r="V7" i="14" s="1"/>
  <c r="K7" i="14"/>
  <c r="E29" i="16"/>
  <c r="E38" i="16"/>
  <c r="D47" i="16"/>
  <c r="F47" i="16"/>
  <c r="B54" i="16"/>
  <c r="E47" i="16"/>
  <c r="E26" i="16"/>
  <c r="C41" i="16"/>
  <c r="D41" i="16" s="1"/>
  <c r="E52" i="16"/>
  <c r="F52" i="16" s="1"/>
  <c r="D52" i="16"/>
  <c r="B59" i="16" s="1"/>
  <c r="E27" i="16"/>
  <c r="H33" i="16"/>
  <c r="D30" i="16"/>
  <c r="D39" i="16"/>
  <c r="E39" i="16"/>
  <c r="D27" i="16"/>
  <c r="B101" i="16" s="1"/>
  <c r="C38" i="16"/>
  <c r="D38" i="16" s="1"/>
  <c r="B42" i="16" s="1"/>
  <c r="B107" i="16"/>
  <c r="D28" i="16"/>
  <c r="H25" i="16"/>
  <c r="E28" i="16"/>
  <c r="C49" i="16"/>
  <c r="D49" i="16" s="1"/>
  <c r="E49" i="16" s="1"/>
  <c r="F49" i="16" s="1"/>
  <c r="E25" i="16"/>
  <c r="F25" i="16" s="1"/>
  <c r="G25" i="16" s="1"/>
  <c r="E33" i="16"/>
  <c r="F33" i="16" s="1"/>
  <c r="G33" i="16" s="1"/>
  <c r="D40" i="16"/>
  <c r="E40" i="16"/>
  <c r="D51" i="16"/>
  <c r="E51" i="16"/>
  <c r="F51" i="16" s="1"/>
  <c r="E30" i="16"/>
  <c r="D48" i="16"/>
  <c r="E48" i="16" s="1"/>
  <c r="F48" i="16" s="1"/>
  <c r="E31" i="16"/>
  <c r="F31" i="16" s="1"/>
  <c r="G31" i="16" s="1"/>
  <c r="F29" i="16"/>
  <c r="G29" i="16" s="1"/>
  <c r="H29" i="16"/>
  <c r="E50" i="16"/>
  <c r="F50" i="16" s="1"/>
  <c r="D50" i="16"/>
  <c r="D32" i="16"/>
  <c r="D53" i="16"/>
  <c r="E53" i="16" s="1"/>
  <c r="F53" i="16" s="1"/>
  <c r="B110" i="16" l="1"/>
  <c r="B3" i="14" s="1"/>
  <c r="H32" i="16"/>
  <c r="F32" i="16"/>
  <c r="G32" i="16" s="1"/>
  <c r="B102" i="16"/>
  <c r="B103" i="16" s="1"/>
  <c r="B112" i="16" s="1"/>
  <c r="H28" i="16"/>
  <c r="F28" i="16"/>
  <c r="G28" i="16" s="1"/>
  <c r="B9" i="16"/>
  <c r="B118" i="16"/>
  <c r="V8" i="14" s="1"/>
  <c r="B72" i="16"/>
  <c r="F30" i="16"/>
  <c r="G30" i="16" s="1"/>
  <c r="H30" i="16"/>
  <c r="I52" i="16"/>
  <c r="I48" i="16"/>
  <c r="I51" i="16"/>
  <c r="I47" i="16"/>
  <c r="I50" i="16"/>
  <c r="I53" i="16"/>
  <c r="I49" i="16"/>
  <c r="I41" i="16"/>
  <c r="I40" i="16"/>
  <c r="I39" i="16"/>
  <c r="I38" i="16"/>
  <c r="I37" i="16"/>
  <c r="F26" i="16"/>
  <c r="G26" i="16" s="1"/>
  <c r="H26" i="16"/>
  <c r="B17" i="16" s="1"/>
  <c r="B104" i="16"/>
  <c r="B105" i="16" s="1"/>
  <c r="H27" i="16"/>
  <c r="F27" i="16"/>
  <c r="G27" i="16" s="1"/>
  <c r="B121" i="16"/>
  <c r="BC8" i="14" s="1"/>
  <c r="C42" i="16"/>
  <c r="B19" i="16" l="1"/>
  <c r="B18" i="16"/>
  <c r="K39" i="16"/>
  <c r="J39" i="16"/>
  <c r="L39" i="16" s="1"/>
  <c r="L53" i="16"/>
  <c r="K53" i="16"/>
  <c r="J53" i="16"/>
  <c r="B56" i="16" s="1"/>
  <c r="L48" i="16"/>
  <c r="K48" i="16"/>
  <c r="J48" i="16"/>
  <c r="B12" i="16"/>
  <c r="B11" i="16"/>
  <c r="B74" i="16" s="1"/>
  <c r="K40" i="16"/>
  <c r="J40" i="16"/>
  <c r="L40" i="16" s="1"/>
  <c r="K50" i="16"/>
  <c r="J50" i="16"/>
  <c r="L50" i="16"/>
  <c r="L52" i="16"/>
  <c r="K52" i="16"/>
  <c r="J52" i="16"/>
  <c r="B55" i="16"/>
  <c r="B125" i="16"/>
  <c r="AM54" i="14" s="1"/>
  <c r="B43" i="16"/>
  <c r="K37" i="16"/>
  <c r="J37" i="16"/>
  <c r="K41" i="16"/>
  <c r="J41" i="16"/>
  <c r="L41" i="16" s="1"/>
  <c r="J47" i="16"/>
  <c r="L47" i="16"/>
  <c r="K47" i="16"/>
  <c r="B124" i="16" s="1"/>
  <c r="K54" i="14" s="1"/>
  <c r="K38" i="16"/>
  <c r="J38" i="16"/>
  <c r="L38" i="16" s="1"/>
  <c r="L49" i="16"/>
  <c r="K49" i="16"/>
  <c r="J49" i="16"/>
  <c r="J51" i="16"/>
  <c r="L51" i="16"/>
  <c r="K51" i="16"/>
  <c r="B115" i="16" l="1"/>
  <c r="B119" i="16"/>
  <c r="AG8" i="14" s="1"/>
  <c r="B75" i="16"/>
  <c r="B13" i="16"/>
  <c r="C43" i="16"/>
  <c r="L37" i="16"/>
  <c r="B126" i="16"/>
  <c r="AR7" i="14" s="1"/>
  <c r="B20" i="16"/>
  <c r="B120" i="16"/>
  <c r="AR8" i="14" s="1"/>
  <c r="B114" i="16" l="1"/>
  <c r="B122" i="16"/>
  <c r="K51" i="14" s="1"/>
  <c r="AG7" i="14"/>
  <c r="B111" i="16"/>
  <c r="B113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3000000}" keepAlive="1" name="Query - Calendario" description="Connection to the 'Calendario' query in the workbook." type="5" refreshedVersion="6" background="1">
    <dbPr connection="Provider=Microsoft.Mashup.OleDb.1;Data Source=$Workbook$;Location=Calendario;Extended Properties=&quot;&quot;" command="SELECT * FROM [Calendario]"/>
  </connection>
  <connection id="2" xr16:uid="{00000000-0015-0000-FFFF-FFFF01000000}" keepAlive="1" name="Query - Clientes" description="Connection to the 'Clientes' query in the workbook." type="5" refreshedVersion="6" background="1">
    <dbPr connection="Provider=Microsoft.Mashup.OleDb.1;Data Source=$Workbook$;Location=Clientes;Extended Properties=&quot;&quot;" command="SELECT * FROM [Clientes]"/>
  </connection>
  <connection id="3" xr16:uid="{00000000-0015-0000-FFFF-FFFF02000000}" keepAlive="1" name="Query - Productos" description="Connection to the 'Productos' query in the workbook." type="5" refreshedVersion="6" background="1">
    <dbPr connection="Provider=Microsoft.Mashup.OleDb.1;Data Source=$Workbook$;Location=Productos;Extended Properties=&quot;&quot;" command="SELECT * FROM [Productos]"/>
  </connection>
  <connection id="4" xr16:uid="{00000000-0015-0000-FFFF-FFFF00000000}" keepAlive="1" name="Query - VentasHechos" description="Connection to the 'VentasHechos' query in the workbook." type="5" refreshedVersion="6" background="1">
    <dbPr connection="Provider=Microsoft.Mashup.OleDb.1;Data Source=$Workbook$;Location=VentasHechos;Extended Properties=&quot;&quot;" command="SELECT * FROM [VentasHechos]"/>
  </connection>
</connections>
</file>

<file path=xl/sharedStrings.xml><?xml version="1.0" encoding="utf-8"?>
<sst xmlns="http://schemas.openxmlformats.org/spreadsheetml/2006/main" count="3210" uniqueCount="571">
  <si>
    <t>Proyecto BI Integrador · Estado de cada requisito</t>
  </si>
  <si>
    <t>Requisito</t>
  </si>
  <si>
    <t>Estado</t>
  </si>
  <si>
    <t>Dónde está</t>
  </si>
  <si>
    <t>Paso 1 · Consulta Power Query con limpieza (tipos, nulos)</t>
  </si>
  <si>
    <t>Incluida como conexión (revisar en Excel)</t>
  </si>
  <si>
    <t>Datos → Consultas y conexiones · código en la hoja Código_M</t>
  </si>
  <si>
    <t>Paso 1 · Paso renombrado (VentasFiltradas) + comentario //</t>
  </si>
  <si>
    <t>Incluido en el Editor avanzado de VentasHechos</t>
  </si>
  <si>
    <t>Consulta VentasHechos</t>
  </si>
  <si>
    <t>Paso 2 · Modelo de datos, estrella y relaciones 1:N</t>
  </si>
  <si>
    <t>Pendiente en Excel (diseño en Esquema_Estrella)</t>
  </si>
  <si>
    <t>Guía_Pasos, Paso 2</t>
  </si>
  <si>
    <t>Paso 3 · Medida DAX con VAR / RETURN</t>
  </si>
  <si>
    <t>Código listo; crear en Power Pivot</t>
  </si>
  <si>
    <t>Hoja Medidas_DAX</t>
  </si>
  <si>
    <t>Paso 4 · Estadística descriptiva</t>
  </si>
  <si>
    <t>Hoja incluida (fórmulas equivalentes)</t>
  </si>
  <si>
    <t>Estadística_Descriptiva</t>
  </si>
  <si>
    <t>Paso 4 · Administrador de escenarios (3 versiones)</t>
  </si>
  <si>
    <t>Incluido (nativo de Excel)</t>
  </si>
  <si>
    <t>Simulación_Escenarios</t>
  </si>
  <si>
    <t>Paso 4 · Resumen de escenarios</t>
  </si>
  <si>
    <t>Hoja incluida (réplica con valores)</t>
  </si>
  <si>
    <t>Resumen_Escenarios</t>
  </si>
  <si>
    <t>ID_Venta</t>
  </si>
  <si>
    <t>Fecha</t>
  </si>
  <si>
    <t>ID_Cliente</t>
  </si>
  <si>
    <t>ID_Producto</t>
  </si>
  <si>
    <t>Cantidad</t>
  </si>
  <si>
    <t>Precio_Unitario</t>
  </si>
  <si>
    <t>Monto</t>
  </si>
  <si>
    <t>C007</t>
  </si>
  <si>
    <t>P02</t>
  </si>
  <si>
    <t>C004</t>
  </si>
  <si>
    <t>P03</t>
  </si>
  <si>
    <t>C008</t>
  </si>
  <si>
    <t>P07</t>
  </si>
  <si>
    <t>C002</t>
  </si>
  <si>
    <t>P04</t>
  </si>
  <si>
    <t>P10</t>
  </si>
  <si>
    <t>C010</t>
  </si>
  <si>
    <t>P05</t>
  </si>
  <si>
    <t>P08</t>
  </si>
  <si>
    <t>P06</t>
  </si>
  <si>
    <t>C001</t>
  </si>
  <si>
    <t>C003</t>
  </si>
  <si>
    <t>C005</t>
  </si>
  <si>
    <t>P09</t>
  </si>
  <si>
    <t>C009</t>
  </si>
  <si>
    <t>C006</t>
  </si>
  <si>
    <t>P01</t>
  </si>
  <si>
    <t>Estadística Descriptiva · Monto de ventas</t>
  </si>
  <si>
    <t>Variable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</si>
  <si>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</si>
  <si>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</si>
  <si>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</si>
  <si>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</si>
  <si>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</si>
  <si>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</si>
  <si>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</si>
  <si>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</si>
  <si>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</si>
  <si>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</si>
  <si>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</si>
  <si>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</si>
  <si>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</si>
  <si>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Nivel de confianza(95,0%)</t>
  </si>
  <si>
    <t>Simulación de Escenarios</t>
  </si>
  <si>
    <t>SUPUESTOS</t>
  </si>
  <si>
    <t>Ventas totales (suma de Monto)</t>
  </si>
  <si>
    <t>Tasa de costo (% de ventas)</t>
  </si>
  <si>
    <t>Gastos operativos (% de ventas)</t>
  </si>
  <si>
    <t>Tasa de impuesto</t>
  </si>
  <si>
    <t>RESULTADOS</t>
  </si>
  <si>
    <t>Costo de ventas</t>
  </si>
  <si>
    <t>Utilidad bruta</t>
  </si>
  <si>
    <t>Gastos operativos</t>
  </si>
  <si>
    <t>Utilidad antes de impuestos</t>
  </si>
  <si>
    <t>Impuesto</t>
  </si>
  <si>
    <t>Margen neto ($)</t>
  </si>
  <si>
    <t>Margen neto (%)</t>
  </si>
  <si>
    <t>Resumen de escenarios</t>
  </si>
  <si>
    <t>Valores actuales:</t>
  </si>
  <si>
    <t>Pesimista</t>
  </si>
  <si>
    <t>Base</t>
  </si>
  <si>
    <t>Optimista</t>
  </si>
  <si>
    <t>Celdas cambiantes:</t>
  </si>
  <si>
    <t>Tasa_Costo</t>
  </si>
  <si>
    <t>Celdas de resultado:</t>
  </si>
  <si>
    <t>Margen_Neto</t>
  </si>
  <si>
    <t>Margen_Neto_Pct</t>
  </si>
  <si>
    <t/>
  </si>
  <si>
    <t>Medidas DAX</t>
  </si>
  <si>
    <t>Total Ventas := SUM ( VentasHechos[Monto] )</t>
  </si>
  <si>
    <t>Costo Total :=</t>
  </si>
  <si>
    <t>SUMX (</t>
  </si>
  <si>
    <t xml:space="preserve">    VentasHechos,</t>
  </si>
  <si>
    <t xml:space="preserve">    VentasHechos[Cantidad] * RELATED ( Productos[Costo_Unitario] )</t>
  </si>
  <si>
    <t>)</t>
  </si>
  <si>
    <t>Margen Neto :=</t>
  </si>
  <si>
    <t>VAR VentasTotales = [Total Ventas]</t>
  </si>
  <si>
    <t>VAR CostoTotal    = [Costo Total]</t>
  </si>
  <si>
    <t>VAR Margen        = VentasTotales - CostoTotal</t>
  </si>
  <si>
    <t>RETURN</t>
  </si>
  <si>
    <t xml:space="preserve">    Margen</t>
  </si>
  <si>
    <t>Margen Neto % :=</t>
  </si>
  <si>
    <t>VAR MargenNeto    = [Margen Neto]</t>
  </si>
  <si>
    <t xml:space="preserve">    DIVIDE ( MargenNeto, VentasTotales )</t>
  </si>
  <si>
    <t>VALORES DE CONTROL (fórmulas de Excel equivalentes a las medidas; deben coincidir con las medidas DAX)</t>
  </si>
  <si>
    <t>Total Ventas</t>
  </si>
  <si>
    <t>Costo Total</t>
  </si>
  <si>
    <t>Margen Neto</t>
  </si>
  <si>
    <t>Margen Neto %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</si>
  <si>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</si>
  <si>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</si>
  <si>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</si>
  <si>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</si>
  <si>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</si>
  <si>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</si>
  <si>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</si>
  <si>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</si>
  <si>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</si>
  <si>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</si>
  <si>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</si>
  <si>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</si>
  <si>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</si>
  <si>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</si>
  <si>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</si>
  <si>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</si>
  <si>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</si>
  <si>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</si>
  <si>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</si>
  <si>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22/01/2026</t>
  </si>
  <si>
    <t>23/01/2026</t>
  </si>
  <si>
    <t>25/01/2026</t>
  </si>
  <si>
    <t>27/01/2026</t>
  </si>
  <si>
    <t>29/01/2026</t>
  </si>
  <si>
    <t>30/01/2026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</si>
  <si>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</si>
  <si>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</si>
  <si>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</si>
  <si>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</si>
  <si>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</si>
  <si>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</si>
  <si>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</si>
  <si>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09/02/2026</t>
  </si>
  <si>
    <t>10/02/2026</t>
  </si>
  <si>
    <t>12/02/2026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</si>
  <si>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</si>
  <si>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</si>
  <si>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</si>
  <si>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</si>
  <si>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</si>
  <si>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</si>
  <si>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</si>
  <si>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22/02/2026</t>
  </si>
  <si>
    <t>25/02/2026</t>
  </si>
  <si>
    <t>28/02/2026</t>
  </si>
  <si>
    <t>02/03/2026</t>
  </si>
  <si>
    <t>04/03/2026</t>
  </si>
  <si>
    <t>05/03/2026</t>
  </si>
  <si>
    <t>06/03/2026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</si>
  <si>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</si>
  <si>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</si>
  <si>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</si>
  <si>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</si>
  <si>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</si>
  <si>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</si>
  <si>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</si>
  <si>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</si>
  <si>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17/03/2026</t>
  </si>
  <si>
    <t>18/03/2026</t>
  </si>
  <si>
    <t>19/03/2026</t>
  </si>
  <si>
    <t>21/03/2026</t>
  </si>
  <si>
    <t>23/03/2026</t>
  </si>
  <si>
    <t>24/03/2026</t>
  </si>
  <si>
    <t>25/03/2026</t>
  </si>
  <si>
    <t>27/03/2026</t>
  </si>
  <si>
    <t>28/03/2026</t>
  </si>
  <si>
    <t>29/03/2026</t>
  </si>
  <si>
    <t>30/03/2026</t>
  </si>
  <si>
    <t>01/04/2026</t>
  </si>
  <si>
    <t>03/04/2026</t>
  </si>
  <si>
    <t>05/04/2026</t>
  </si>
  <si>
    <t>07/04/2026</t>
  </si>
  <si>
    <t>08/04/2026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</si>
  <si>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</si>
  <si>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</si>
  <si>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</si>
  <si>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</si>
  <si>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</si>
  <si>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</si>
  <si>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</si>
  <si>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19/04/2026</t>
  </si>
  <si>
    <t>21/04/2026</t>
  </si>
  <si>
    <t>23/04/2026</t>
  </si>
  <si>
    <t>24/04/2026</t>
  </si>
  <si>
    <t>26/04/2026</t>
  </si>
  <si>
    <t>28/04/2026</t>
  </si>
  <si>
    <t>01/05/2026</t>
  </si>
  <si>
    <t>02/05/2026</t>
  </si>
  <si>
    <t>05/05/2026</t>
  </si>
  <si>
    <t>06/05/2026</t>
  </si>
  <si>
    <t>07/05/2026</t>
  </si>
  <si>
    <t>08/05/2026</t>
  </si>
  <si>
    <t>09/05/2026</t>
  </si>
  <si>
    <t>12/05/2026</t>
  </si>
  <si>
    <t>13/05/2026</t>
  </si>
  <si>
    <t>15/05/2026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</si>
  <si>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</si>
  <si>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</si>
  <si>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</si>
  <si>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</si>
  <si>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</si>
  <si>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</si>
  <si>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</si>
  <si>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26/05/2026</t>
  </si>
  <si>
    <t>27/05/2026</t>
  </si>
  <si>
    <t>29/05/2026</t>
  </si>
  <si>
    <t>30/05/2026</t>
  </si>
  <si>
    <t>31/05/2026</t>
  </si>
  <si>
    <t>01/06/2026</t>
  </si>
  <si>
    <t>03/06/2026</t>
  </si>
  <si>
    <t>04/06/2026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</si>
  <si>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</si>
  <si>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</si>
  <si>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</si>
  <si>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</si>
  <si>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</si>
  <si>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</si>
  <si>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</si>
  <si>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14/06/2026</t>
  </si>
  <si>
    <t>15/06/2026</t>
  </si>
  <si>
    <t>16/06/2026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</si>
  <si>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</si>
  <si>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</si>
  <si>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</si>
  <si>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</si>
  <si>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</si>
  <si>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</si>
  <si>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</si>
  <si>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26/06/2026</t>
  </si>
  <si>
    <t>27/06/2026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</si>
  <si>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</si>
  <si>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</si>
  <si>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</si>
  <si>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</si>
  <si>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</si>
  <si>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</si>
  <si>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</si>
  <si>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</si>
  <si>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</si>
  <si>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</si>
  <si>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</si>
  <si>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11/07/2026</t>
  </si>
  <si>
    <t>12/07/2026</t>
  </si>
  <si>
    <t>14/07/2026</t>
  </si>
  <si>
    <t>15/07/2026</t>
  </si>
  <si>
    <t>16/07/2026</t>
  </si>
  <si>
    <t>17/07/2026</t>
  </si>
  <si>
    <t>19/07/2026</t>
  </si>
  <si>
    <t>21/07/2026</t>
  </si>
  <si>
    <t>23/07/2026</t>
  </si>
  <si>
    <t>24/07/2026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</si>
  <si>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</si>
  <si>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</si>
  <si>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</si>
  <si>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</si>
  <si>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</si>
  <si>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</si>
  <si>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</si>
  <si>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</si>
  <si>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</si>
  <si>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</si>
  <si>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</si>
  <si>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</si>
  <si>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</si>
  <si>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</si>
  <si>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</si>
  <si>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</si>
  <si>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</si>
  <si>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</si>
  <si>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</si>
  <si>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</si>
  <si>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</si>
  <si>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19/08/2026</t>
  </si>
  <si>
    <t>20/08/2026</t>
  </si>
  <si>
    <t>21/08/2026</t>
  </si>
  <si>
    <t>23/08/2026</t>
  </si>
  <si>
    <t>24/08/2026</t>
  </si>
  <si>
    <t>25/08/2026</t>
  </si>
  <si>
    <t>27/08/2026</t>
  </si>
  <si>
    <t>28/08/2026</t>
  </si>
  <si>
    <t>29/08/2026</t>
  </si>
  <si>
    <t>31/08/2026</t>
  </si>
  <si>
    <t>01/09/2026</t>
  </si>
  <si>
    <t>02/09/2026</t>
  </si>
  <si>
    <t>03/09/2026</t>
  </si>
  <si>
    <t>04/09/2026</t>
  </si>
  <si>
    <t>05/09/2026</t>
  </si>
  <si>
    <t>07/09/2026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</si>
  <si>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</si>
  <si>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</si>
  <si>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</si>
  <si>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</si>
  <si>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</si>
  <si>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</si>
  <si>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</si>
  <si>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</si>
  <si>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</si>
  <si>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20/09/2026</t>
  </si>
  <si>
    <t>21/09/2026</t>
  </si>
  <si>
    <t>22/09/2026</t>
  </si>
  <si>
    <t>23/09/2026</t>
  </si>
  <si>
    <t>25/09/2026</t>
  </si>
  <si>
    <t>26/09/2026</t>
  </si>
  <si>
    <t>28/09/2026</t>
  </si>
  <si>
    <t>Cliente</t>
  </si>
  <si>
    <t>Segmento</t>
  </si>
  <si>
    <t>Ciudad</t>
  </si>
  <si>
    <t>Distribuidora Andes</t>
  </si>
  <si>
    <t>Mayorista</t>
  </si>
  <si>
    <t>Mendoza</t>
  </si>
  <si>
    <t>Kiosco La Esquina</t>
  </si>
  <si>
    <t>Minorista</t>
  </si>
  <si>
    <t>Godoy Cruz</t>
  </si>
  <si>
    <t>Supermercado Cuyo</t>
  </si>
  <si>
    <t>Retail</t>
  </si>
  <si>
    <t>Guaymallén</t>
  </si>
  <si>
    <t>Almacén Don Pedro</t>
  </si>
  <si>
    <t>Maipú</t>
  </si>
  <si>
    <t>Hiper Centro</t>
  </si>
  <si>
    <t>Luján de Cuyo</t>
  </si>
  <si>
    <t>Mayorista del Sol</t>
  </si>
  <si>
    <t>San Martín</t>
  </si>
  <si>
    <t>Despensa Vero</t>
  </si>
  <si>
    <t>Autoservicio Norte</t>
  </si>
  <si>
    <t>Las Heras</t>
  </si>
  <si>
    <t>Pet Shop Mascotas</t>
  </si>
  <si>
    <t>Especializado</t>
  </si>
  <si>
    <t>Veterinaria Sur</t>
  </si>
  <si>
    <t>Producto</t>
  </si>
  <si>
    <t>Categoría</t>
  </si>
  <si>
    <t>Costo_Unitario</t>
  </si>
  <si>
    <t>Precio_Lista</t>
  </si>
  <si>
    <t>Alimento Balanceado 15kg</t>
  </si>
  <si>
    <t>Alimentos</t>
  </si>
  <si>
    <t>Alimento Premium 10kg</t>
  </si>
  <si>
    <t>Snack Dental</t>
  </si>
  <si>
    <t>Snacks</t>
  </si>
  <si>
    <t>Galletas Perro</t>
  </si>
  <si>
    <t>Arena Sanitaria</t>
  </si>
  <si>
    <t>Higiene</t>
  </si>
  <si>
    <t>Shampoo Mascotas</t>
  </si>
  <si>
    <t>Collar Ajustable</t>
  </si>
  <si>
    <t>Accesorios</t>
  </si>
  <si>
    <t>Correa Reforzada</t>
  </si>
  <si>
    <t>Juguete Pelota</t>
  </si>
  <si>
    <t>Aceite Omega</t>
  </si>
  <si>
    <t>Suplementos</t>
  </si>
  <si>
    <t>Año</t>
  </si>
  <si>
    <t>N° Mes</t>
  </si>
  <si>
    <t>Mes</t>
  </si>
  <si>
    <t>Trimestre</t>
  </si>
  <si>
    <t>Enero</t>
  </si>
  <si>
    <t>T1</t>
  </si>
  <si>
    <t>Febrero</t>
  </si>
  <si>
    <t>Marzo</t>
  </si>
  <si>
    <t>Abril</t>
  </si>
  <si>
    <t>T2</t>
  </si>
  <si>
    <t>Mayo</t>
  </si>
  <si>
    <t>Junio</t>
  </si>
  <si>
    <t>Julio</t>
  </si>
  <si>
    <t>T3</t>
  </si>
  <si>
    <t>Agosto</t>
  </si>
  <si>
    <t>Septiembre</t>
  </si>
  <si>
    <t>Octubre</t>
  </si>
  <si>
    <t>T4</t>
  </si>
  <si>
    <t>Noviembre</t>
  </si>
  <si>
    <t>Diciembre</t>
  </si>
  <si>
    <t>Esquema en Estrella · Vista de diagrama del modelo</t>
  </si>
  <si>
    <t>RELACIONES (todas 1:N, dirección de filtro única hacia VentasHechos)</t>
  </si>
  <si>
    <t>Calendario[Fecha]  (1)</t>
  </si>
  <si>
    <t>→</t>
  </si>
  <si>
    <t>VentasHechos[Fecha]  (N)</t>
  </si>
  <si>
    <t>Clientes[ID_Cliente]  (1)</t>
  </si>
  <si>
    <t>VentasHechos[ID_Cliente]  (N)</t>
  </si>
  <si>
    <t>Productos[ID_Producto]  (1)</t>
  </si>
  <si>
    <t>VentasHechos[ID_Producto]  (N)</t>
  </si>
  <si>
    <t>Dashboard Ejecutivo de Ventas · Productos para Mascotas · Mendoza 2026</t>
  </si>
  <si>
    <t>Proyecto BI Integrador · Javier Linares</t>
  </si>
  <si>
    <t>VENTAS TOTALES</t>
  </si>
  <si>
    <t>MARGEN BRUTO %</t>
  </si>
  <si>
    <t>MARGEN NETO % (EST.)</t>
  </si>
  <si>
    <t>CRECIMIENTO VS MES ANTERIOR</t>
  </si>
  <si>
    <t>UNIDADES VENDIDAS</t>
  </si>
  <si>
    <t>Suma de Monto de las ventas filtradas</t>
  </si>
  <si>
    <t>Costo según Productos[Costo_Unitario]</t>
  </si>
  <si>
    <t>Opex e impuesto de Simulación_Escenarios</t>
  </si>
  <si>
    <t>YoY n/d: el modelo no tiene datos 2025</t>
  </si>
  <si>
    <t>Unidades de las ventas filtradas</t>
  </si>
  <si>
    <t>NOTAS DE ANÁLISIS · hipótesis de negocio contrastadas con IA y validadas con los datos (detalle en la hoja oculta Análisis_IA)</t>
  </si>
  <si>
    <t>1 · Mix de producto y margen</t>
  </si>
  <si>
    <t>2 · Política de precios y descuentos</t>
  </si>
  <si>
    <t>3 · Margen por zona geográfica</t>
  </si>
  <si>
    <t>4 · Estacionalidad de la demanda</t>
  </si>
  <si>
    <t>Cómo funciona: los segmentadores filtran la tabla oculta tblBaseDash; su columna Visible = SUBTOTAL(103,…) alimenta Calc_Dashboard, por eso KPIs, gráficos, títulos y notas se recalculan con cada filtro.</t>
  </si>
  <si>
    <t>Checkpoint · Dashboard con layout, KPIs y paleta de 3 colores</t>
  </si>
  <si>
    <t>Incluido</t>
  </si>
  <si>
    <t>Hoja Dashboard (primera pestaña)</t>
  </si>
  <si>
    <t>Checkpoint · 4 segmentadores conectados a todos los gráficos</t>
  </si>
  <si>
    <t>Incluido (segmentadores de tabla sobre tblBaseDash)</t>
  </si>
  <si>
    <t>Dashboard · columna izquierda</t>
  </si>
  <si>
    <t>Checkpoint · Cascada, dispersión y storytelling dinámico</t>
  </si>
  <si>
    <t>Dashboard · títulos y textos ligados a Calc_Dashboard</t>
  </si>
  <si>
    <t>Checkpoint · Análisis asistido por IA</t>
  </si>
  <si>
    <t>Incluido (completar respuesta textual de ChatGPT)</t>
  </si>
  <si>
    <t>Hoja oculta Análisis_IA</t>
  </si>
  <si>
    <t>Costo</t>
  </si>
  <si>
    <t>Margen</t>
  </si>
  <si>
    <t>Desvío_Precio</t>
  </si>
  <si>
    <t>Visible</t>
  </si>
  <si>
    <t>Cálculos de soporte del Dashboard (no editar · todo responde a los segmentadores vía la columna Visible de tblBaseDash)</t>
  </si>
  <si>
    <t>Ventas</t>
  </si>
  <si>
    <t>Costo de mercadería</t>
  </si>
  <si>
    <t>Cantidad × Productos[Costo_Unitario]</t>
  </si>
  <si>
    <t>Margen bruto</t>
  </si>
  <si>
    <t>Margen bruto %</t>
  </si>
  <si>
    <t>Gastos operativos % (supuesto)</t>
  </si>
  <si>
    <t>Fuente: hoja Simulación_Escenarios (supuesto del Módulo 4)</t>
  </si>
  <si>
    <t>Tasa de impuesto (supuesto)</t>
  </si>
  <si>
    <t>Fuente: hoja Simulación_Escenarios</t>
  </si>
  <si>
    <t>Margen neto</t>
  </si>
  <si>
    <t>Margen neto %</t>
  </si>
  <si>
    <t>Transacciones</t>
  </si>
  <si>
    <t>Unidades</t>
  </si>
  <si>
    <t>Ticket promedio</t>
  </si>
  <si>
    <t>Último mes con ventas (n°)</t>
  </si>
  <si>
    <t>Ventas último mes</t>
  </si>
  <si>
    <t>Ventas mes anterior</t>
  </si>
  <si>
    <t>Crecimiento vs mes anterior</t>
  </si>
  <si>
    <t>YoY no calculable: el modelo sólo tiene datos de 2026</t>
  </si>
  <si>
    <t>Unidades por venta</t>
  </si>
  <si>
    <t>N°</t>
  </si>
  <si>
    <t>Mes corto</t>
  </si>
  <si>
    <t>Margen %</t>
  </si>
  <si>
    <t>N° si tiene ventas</t>
  </si>
  <si>
    <t>01 Ene</t>
  </si>
  <si>
    <t>Ene</t>
  </si>
  <si>
    <t>02 Feb</t>
  </si>
  <si>
    <t>Feb</t>
  </si>
  <si>
    <t>03 Mar</t>
  </si>
  <si>
    <t>Mar</t>
  </si>
  <si>
    <t>04 Abr</t>
  </si>
  <si>
    <t>Abr</t>
  </si>
  <si>
    <t>05 May</t>
  </si>
  <si>
    <t>May</t>
  </si>
  <si>
    <t>06 Jun</t>
  </si>
  <si>
    <t>Jun</t>
  </si>
  <si>
    <t>07 Jul</t>
  </si>
  <si>
    <t>Jul</t>
  </si>
  <si>
    <t>08 Ago</t>
  </si>
  <si>
    <t>Ago</t>
  </si>
  <si>
    <t>09 Sep</t>
  </si>
  <si>
    <t>Sep</t>
  </si>
  <si>
    <t>Clave orden</t>
  </si>
  <si>
    <t>Rank</t>
  </si>
  <si>
    <t>Categoría (orden ventas)</t>
  </si>
  <si>
    <t>Participación</t>
  </si>
  <si>
    <t>Menor margen % entre categorías con ventas</t>
  </si>
  <si>
    <t>Margen $ de la categoría líder</t>
  </si>
  <si>
    <t>← margen % del resto del portafolio</t>
  </si>
  <si>
    <t>Desvío vs prom. (p.p.)</t>
  </si>
  <si>
    <t>Ciudad (orden margen)</t>
  </si>
  <si>
    <t>Desvío p.p.</t>
  </si>
  <si>
    <t>Ciudades con ventas</t>
  </si>
  <si>
    <t>Ciudad de menor margen</t>
  </si>
  <si>
    <t>Desvío p.p. ciudad de menor margen</t>
  </si>
  <si>
    <t>Ciudad líder en ventas</t>
  </si>
  <si>
    <t>Participación ciudad líder</t>
  </si>
  <si>
    <t>Margen % ciudad líder</t>
  </si>
  <si>
    <t>Concepto</t>
  </si>
  <si>
    <t>Importe</t>
  </si>
  <si>
    <t>Gastos operativos (est.)</t>
  </si>
  <si>
    <t>Impuestos (est.)</t>
  </si>
  <si>
    <t>Margen neto (est.)</t>
  </si>
  <si>
    <t>Umbral de descuento (precio vs lista)</t>
  </si>
  <si>
    <t>Supuesto editable: ventas por debajo de este desvío se marcan como anómalas</t>
  </si>
  <si>
    <t>Umbral de pedido chico (unidades)</t>
  </si>
  <si>
    <t>Supuesto editable</t>
  </si>
  <si>
    <t>Serie</t>
  </si>
  <si>
    <t>X (unidades)</t>
  </si>
  <si>
    <t>Y (desvío)</t>
  </si>
  <si>
    <t>Umbral descuento</t>
  </si>
  <si>
    <t>Umbral pedido chico</t>
  </si>
  <si>
    <t>Ventas anómalas (chicas y con descuento)</t>
  </si>
  <si>
    <t>Monto de ventas anómalas</t>
  </si>
  <si>
    <t>n (ventas visibles)</t>
  </si>
  <si>
    <t>Σx (unidades)</t>
  </si>
  <si>
    <t>Σy (desvío)</t>
  </si>
  <si>
    <t>Σx²</t>
  </si>
  <si>
    <t>Σy²</t>
  </si>
  <si>
    <t>Σxy</t>
  </si>
  <si>
    <t>Correlación cantidad–precio (r, filtrada)</t>
  </si>
  <si>
    <t>Pearson calculado sólo sobre filas visibles</t>
  </si>
  <si>
    <t>Desvío medio pedidos chicos</t>
  </si>
  <si>
    <t>Desvío medio pedidos de 30+ u.</t>
  </si>
  <si>
    <t>Meses con ventas</t>
  </si>
  <si>
    <t>Ventas mes pico</t>
  </si>
  <si>
    <t>Mes pico</t>
  </si>
  <si>
    <t>Ventas mes mínimo (con ventas)</t>
  </si>
  <si>
    <t>Mes mínimo</t>
  </si>
  <si>
    <t>Categorías con ventas</t>
  </si>
  <si>
    <t>Segmentos con ventas</t>
  </si>
  <si>
    <t>Subtítulo</t>
  </si>
  <si>
    <t>Titular (cuadro de texto)</t>
  </si>
  <si>
    <t>Título tendencia</t>
  </si>
  <si>
    <t>Título cascada</t>
  </si>
  <si>
    <t>Título categorías</t>
  </si>
  <si>
    <t>Título ciudades</t>
  </si>
  <si>
    <t>Título dispersión</t>
  </si>
  <si>
    <t>Tarjeta 1</t>
  </si>
  <si>
    <t>Tarjeta 2</t>
  </si>
  <si>
    <t>Tarjeta 3</t>
  </si>
  <si>
    <t>Tarjeta 4</t>
  </si>
  <si>
    <t>Tarjeta 5</t>
  </si>
  <si>
    <t>Nota 1</t>
  </si>
  <si>
    <t>Nota 2</t>
  </si>
  <si>
    <t>Nota 3</t>
  </si>
  <si>
    <t>Nota 4</t>
  </si>
  <si>
    <t>Valor tarjeta 4</t>
  </si>
  <si>
    <t>Análisis asistido por IA · Prueba de estrés de los insights del Dashboard</t>
  </si>
  <si>
    <t>Registro de cómo se usó la IA para generar hipótesis y cómo cada una se validó (o descartó) con los datos del modelo. Las hipótesis de la columna E son un primer borrador generado con un asistente de IA (Claude). Para cumplir la consigna, pegá cada prompt de la columna D en ChatGPT, copiá su respuesta en la columna I y ajustá las columnas E–H si ChatGPT propone hipótesis distintas.</t>
  </si>
  <si>
    <t>Metodología</t>
  </si>
  <si>
    <t>1. Se leyeron los hallazgos del Dashboard (KPIs, cascada, dispersión, ciudades, tendencia) sin filtros.</t>
  </si>
  <si>
    <t>2. Se describió cada hallazgo a la IA con números concretos y se pidieron hipótesis de negocio y cómo validarlas.</t>
  </si>
  <si>
    <t>3. Cada hipótesis se contrastó con una fórmula sobre el modelo (columna G, en vivo) y con los segmentadores del Dashboard.</t>
  </si>
  <si>
    <t>4. Sólo las hipótesis sostenidas pasaron a las "Notas de Análisis" del Dashboard; las descartadas quedan documentadas acá.</t>
  </si>
  <si>
    <t>Hallazgo del Dashboard</t>
  </si>
  <si>
    <t>Prompt enviado a la IA</t>
  </si>
  <si>
    <t>Hipótesis propuestas por la IA</t>
  </si>
  <si>
    <t>Validación con los datos</t>
  </si>
  <si>
    <t>Dato de control (fórmula en vivo)</t>
  </si>
  <si>
    <t>Resultado</t>
  </si>
  <si>
    <t>Respuesta textual de ChatGPT (pegar)</t>
  </si>
  <si>
    <t>Alimentos genera ~53% de las ventas con margen bruto de 33,4%, contra ~44,4% del resto. El costo de mercadería absorbe el 61% de las ventas.</t>
  </si>
  <si>
    <t>Tengo un dashboard de una distribuidora de productos para mascotas en Mendoza. La categoría Alimentos genera el 53% de las ventas pero tiene un margen bruto de 33% contra 45% del resto, y en la cascada el costo de mercadería se lleva el 61% de las ventas. ¿Qué hipótesis de negocio podrían explicar esto y cómo las validaría con datos?</t>
  </si>
  <si>
    <t>a) Efecto mix: el alimento es un producto "commodity" cuyo precio el cliente compara. b) Mayor poder de negociación de los proveedores de alimento. c) Alimentos se usa como producto gancho con descuentos.</t>
  </si>
  <si>
    <t>Desvío medio de precio vs lista en Alimentos ≈ +0,3% (no hay descuentos extra) → c) se descarta. El margen de lista de los alimentos ya es ~33% → el margen bajo es estructural: a) y b) se sostienen.</t>
  </si>
  <si>
    <t>a) y b) sostenidas · c) descartada → Nota 1</t>
  </si>
  <si>
    <t>El precio cobrado varía ±8% respecto de la lista y no se relaciona con la cantidad (r ≈ 0,02). Hay 18 ventas de menos de 10 u. con más de 5% de descuento.</t>
  </si>
  <si>
    <t>En un gráfico de dispersión de unidades por venta vs. desvío del precio respecto de la lista, la correlación es casi nula (r = 0,02) y hay 18 ventas de menos de 10 unidades con más de 5% de descuento. ¿Qué podría explicar descuentos que no dependen del volumen? ¿Qué riesgo tiene para el margen?</t>
  </si>
  <si>
    <t>a) Descuentos discrecionales del vendedor. b) Acuerdos comerciales por cliente, no por pedido. c) Errores de carga de precios. d) Promociones puntuales por fecha.</t>
  </si>
  <si>
    <t>Correlación global ≈ 0 → no hay política por volumen: a) sostenida. Los desvíos se reparten en todas las categorías y ciudades (entre −1,1% y +0,8%): b) y d) quedan a revisar por cliente y fecha. c) no se puede validar sin el log de facturación.</t>
  </si>
  <si>
    <t>a) sostenida · b), d) a revisar → Nota 2</t>
  </si>
  <si>
    <t>Mendoza (capital) factura ~35% del total pero tiene el margen más bajo (37,1% vs 38,6% promedio).</t>
  </si>
  <si>
    <t>En mi dashboard la ciudad de Mendoza concentra el 35% de las ventas pero tiene el menor margen bruto (37,1% vs 38,6% promedio). ¿Qué hipótesis podrían explicarlo?</t>
  </si>
  <si>
    <t>a) Más competencia urbana que obliga a descontar. b) Mix de productos con más Alimentos (menor margen). c) Clientes más grandes con mejores condiciones.</t>
  </si>
  <si>
    <t>Desvío medio de precio en Mendoza ≈ −0,5% vs −0,3% general → a) no explica la brecha. Alimentos pesa 62,6% de las ventas en Mendoza vs 47,5% en el resto → b) sostenida. c) a validar por cliente.</t>
  </si>
  <si>
    <t>b) sostenida · a) descartada → Nota 3</t>
  </si>
  <si>
    <t>Marzo es el pico ($7,9 M) y abril el valle ($3,7 M, −53%).</t>
  </si>
  <si>
    <t>Mis ventas mensuales muestran un pico en marzo ($7,9 M) y una caída del 53% en abril ($3,7 M). ¿Qué hipótesis de negocio explican esta estacionalidad y qué datos miraría para confirmarlas?</t>
  </si>
  <si>
    <t>a) Abril tiene menos días hábiles (feriados de Semana Santa). b) Compras anticipadas de stock en marzo (inicio de otoño/clases). c) Caída de transacciones más que de ticket.</t>
  </si>
  <si>
    <t>Abril tiene 30 días vs 31 (−3%): a) explica muy poco. Las transacciones caen de 51 a 35 (−31%) → c) sostenida. En marzo el segmento Minorista duplica su promedio → b) sostenida para Minorista.</t>
  </si>
  <si>
    <t>b) y c) sostenidas · a) parcial → Nota 4</t>
  </si>
  <si>
    <t>Prueba de la consigna: "los costos logísticos subieron 12% mientras el margen cayó 5%".</t>
  </si>
  <si>
    <t>Tengo un gráfico de cascada que muestra que los costos logísticos subieron un 12% mientras el margen cayó un 5%. ¿Qué hipótesis de negocio podrían explicar esto?</t>
  </si>
  <si>
    <t>a) Suba de combustible/tarifas de flete. b) Más pedidos chicos (más envíos por peso vendido). c) Envíos a zonas más lejanas. d) Devoluciones o envíos urgentes.</t>
  </si>
  <si>
    <t>El modelo no tiene costos logísticos, por lo que no se puede validar. Sí se puede medir el proxy de b): unidades por venta (control a la derecha). Recomendación: agregar costo de flete por pedido a VentasHechos.</t>
  </si>
  <si>
    <t>No validable con el modelo actual (pendiente)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</si>
</sst>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%"/>
    <numFmt numFmtId="166" formatCode="dd/mm/yyyy"/>
    <numFmt numFmtId="167" formatCode="0.0000"/>
    <numFmt numFmtId="168" formatCode="&quot;$ &quot;#,##0"/>
    <numFmt numFmtId="169" formatCode="&quot;$ &quot;#,##0.0,,&quot; M&quot;"/>
    <numFmt numFmtId="170" formatCode="\+0.0%;\-0.0%;0.0%"/>
  </numFmts>
  <fonts count="30" x14ac:knownFonts="1">
    <font>
      <sz val="11"/>
      <color theme="1"/>
      <name val="Calibri"/>
      <family val="2"/>
      <scheme val="minor"/>
    </font>
    <font>
      <b/>
      <sz val="20"/>
      <color rgb="FF0B4F4A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0B4F4A"/>
      <name val="Calibri"/>
      <family val="2"/>
      <scheme val="minor"/>
    </font>
    <font>
      <i/>
      <sz val="10"/>
      <color rgb="FF6A737D"/>
      <name val="Consolas"/>
      <family val="2"/>
    </font>
    <font>
      <sz val="10"/>
      <color theme="1"/>
      <name val="Consolas"/>
      <family val="2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rgb="FF7F7F7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4"/>
      <color rgb="FF0B4F4A"/>
      <name val="Calibri"/>
      <family val="2"/>
      <scheme val="minor"/>
    </font>
    <font>
      <i/>
      <sz val="9"/>
      <color rgb="FF5F6B6A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rgb="FFCFE5E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5F6B6A"/>
      <name val="Calibri"/>
      <family val="2"/>
      <scheme val="minor"/>
    </font>
    <font>
      <b/>
      <sz val="24"/>
      <color rgb="FF0B4F4A"/>
      <name val="Calibri"/>
      <family val="2"/>
      <scheme val="minor"/>
    </font>
    <font>
      <sz val="9"/>
      <color rgb="FF5F6B6A"/>
      <name val="Calibri"/>
      <family val="2"/>
      <scheme val="minor"/>
    </font>
    <font>
      <i/>
      <sz val="8"/>
      <color rgb="FF8A9493"/>
      <name val="Calibri"/>
      <family val="2"/>
      <scheme val="minor"/>
    </font>
    <font>
      <b/>
      <sz val="11"/>
      <color rgb="FF0B4F4A"/>
      <name val="Calibri"/>
      <family val="2"/>
      <scheme val="minor"/>
    </font>
    <font>
      <b/>
      <sz val="10"/>
      <color rgb="FF0B4F4A"/>
      <name val="Calibri"/>
      <family val="2"/>
      <scheme val="minor"/>
    </font>
    <font>
      <sz val="9"/>
      <color rgb="FF1F2A29"/>
      <name val="Calibri"/>
      <family val="2"/>
      <scheme val="minor"/>
    </font>
    <font>
      <i/>
      <sz val="8"/>
      <color rgb="FF5F6B6A"/>
      <name val="Calibri"/>
      <family val="2"/>
      <scheme val="minor"/>
    </font>
    <font>
      <b/>
      <sz val="16"/>
      <color rgb="FF0B4F4A"/>
      <name val="Calibri"/>
      <family val="2"/>
      <scheme val="minor"/>
    </font>
    <font>
      <i/>
      <sz val="10"/>
      <color rgb="FF5F6B6A"/>
      <name val="Calibri"/>
      <family val="2"/>
      <scheme val="minor"/>
    </font>
    <font>
      <b/>
      <sz val="10"/>
      <color rgb="FF1F2A2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B4F4A"/>
        <bgColor indexed="64"/>
      </patternFill>
    </fill>
    <fill>
      <patternFill patternType="solid">
        <fgColor rgb="FFE6F1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0B4F4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5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BEB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FDE"/>
      </left>
      <right/>
      <top style="thick">
        <color rgb="FF0B4F4A"/>
      </top>
      <bottom/>
      <diagonal/>
    </border>
    <border>
      <left/>
      <right/>
      <top style="thick">
        <color rgb="FF0B4F4A"/>
      </top>
      <bottom/>
      <diagonal/>
    </border>
    <border>
      <left/>
      <right style="thin">
        <color rgb="FFD9DFDE"/>
      </right>
      <top style="thick">
        <color rgb="FF0B4F4A"/>
      </top>
      <bottom/>
      <diagonal/>
    </border>
    <border>
      <left style="thin">
        <color rgb="FFD9DFDE"/>
      </left>
      <right/>
      <top/>
      <bottom/>
      <diagonal/>
    </border>
    <border>
      <left/>
      <right style="thin">
        <color rgb="FFD9DFDE"/>
      </right>
      <top/>
      <bottom/>
      <diagonal/>
    </border>
    <border>
      <left style="thin">
        <color rgb="FFD9DFDE"/>
      </left>
      <right/>
      <top/>
      <bottom style="thin">
        <color rgb="FFD9DFDE"/>
      </bottom>
      <diagonal/>
    </border>
    <border>
      <left/>
      <right/>
      <top/>
      <bottom style="thin">
        <color rgb="FFD9DFDE"/>
      </bottom>
      <diagonal/>
    </border>
    <border>
      <left/>
      <right style="thin">
        <color rgb="FFD9DFDE"/>
      </right>
      <top/>
      <bottom style="thin">
        <color rgb="FFD9DFDE"/>
      </bottom>
      <diagonal/>
    </border>
    <border>
      <left style="thick">
        <color rgb="FFE08A2C"/>
      </left>
      <right/>
      <top style="thin">
        <color rgb="FFD9DFDE"/>
      </top>
      <bottom/>
      <diagonal/>
    </border>
    <border>
      <left style="thick">
        <color rgb="FFE08A2C"/>
      </left>
      <right/>
      <top/>
      <bottom style="thin">
        <color rgb="FFD9DFDE"/>
      </bottom>
      <diagonal/>
    </border>
    <border>
      <left/>
      <right/>
      <top style="thin">
        <color rgb="FFD9DFDE"/>
      </top>
      <bottom/>
      <diagonal/>
    </border>
    <border>
      <left/>
      <right style="thin">
        <color rgb="FFD9DFDE"/>
      </right>
      <top style="thin">
        <color rgb="FFD9DFDE"/>
      </top>
      <bottom/>
      <diagonal/>
    </border>
    <border>
      <left style="thin">
        <color rgb="FFD9DFDE"/>
      </left>
      <right style="thin">
        <color rgb="FFD9DFDE"/>
      </right>
      <top style="thin">
        <color rgb="FFD9DFDE"/>
      </top>
      <bottom style="thin">
        <color rgb="FFD9DFDE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3" borderId="1" xfId="0" applyFill="1" applyBorder="1"/>
    <xf numFmtId="0" fontId="7" fillId="0" borderId="0" xfId="0" applyFont="1" applyAlignment="1">
      <alignment horizontal="center"/>
    </xf>
    <xf numFmtId="164" fontId="0" fillId="0" borderId="1" xfId="0" applyNumberForma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166" fontId="0" fillId="0" borderId="0" xfId="0" applyNumberFormat="1"/>
    <xf numFmtId="164" fontId="0" fillId="0" borderId="0" xfId="0" applyNumberFormat="1"/>
    <xf numFmtId="3" fontId="0" fillId="0" borderId="1" xfId="0" applyNumberFormat="1" applyBorder="1"/>
    <xf numFmtId="167" fontId="0" fillId="0" borderId="1" xfId="0" applyNumberFormat="1" applyBorder="1"/>
    <xf numFmtId="1" fontId="0" fillId="0" borderId="1" xfId="0" applyNumberFormat="1" applyBorder="1"/>
    <xf numFmtId="165" fontId="8" fillId="4" borderId="1" xfId="0" applyNumberFormat="1" applyFont="1" applyFill="1" applyBorder="1"/>
    <xf numFmtId="0" fontId="9" fillId="3" borderId="1" xfId="0" applyFont="1" applyFill="1" applyBorder="1"/>
    <xf numFmtId="164" fontId="9" fillId="0" borderId="1" xfId="0" applyNumberFormat="1" applyFont="1" applyBorder="1"/>
    <xf numFmtId="0" fontId="7" fillId="3" borderId="1" xfId="0" applyFont="1" applyFill="1" applyBorder="1"/>
    <xf numFmtId="0" fontId="10" fillId="0" borderId="0" xfId="0" applyFont="1"/>
    <xf numFmtId="0" fontId="7" fillId="5" borderId="1" xfId="0" applyFont="1" applyFill="1" applyBorder="1" applyAlignment="1">
      <alignment horizontal="center"/>
    </xf>
    <xf numFmtId="0" fontId="7" fillId="0" borderId="0" xfId="0" applyFont="1"/>
    <xf numFmtId="0" fontId="7" fillId="5" borderId="1" xfId="0" applyFont="1" applyFill="1" applyBorder="1"/>
    <xf numFmtId="165" fontId="0" fillId="6" borderId="1" xfId="0" applyNumberFormat="1" applyFill="1" applyBorder="1"/>
    <xf numFmtId="165" fontId="0" fillId="0" borderId="1" xfId="0" applyNumberFormat="1" applyBorder="1"/>
    <xf numFmtId="0" fontId="12" fillId="7" borderId="0" xfId="0" applyFont="1" applyFill="1" applyAlignment="1">
      <alignment vertical="center"/>
    </xf>
    <xf numFmtId="168" fontId="0" fillId="0" borderId="0" xfId="0" applyNumberFormat="1"/>
    <xf numFmtId="165" fontId="0" fillId="0" borderId="0" xfId="0" applyNumberFormat="1"/>
    <xf numFmtId="0" fontId="13" fillId="0" borderId="0" xfId="0" applyFont="1"/>
    <xf numFmtId="0" fontId="14" fillId="0" borderId="0" xfId="0" applyFont="1"/>
    <xf numFmtId="3" fontId="0" fillId="0" borderId="0" xfId="0" applyNumberFormat="1"/>
    <xf numFmtId="2" fontId="0" fillId="0" borderId="0" xfId="0" applyNumberFormat="1"/>
    <xf numFmtId="165" fontId="15" fillId="8" borderId="0" xfId="0" applyNumberFormat="1" applyFont="1" applyFill="1"/>
    <xf numFmtId="1" fontId="15" fillId="8" borderId="0" xfId="0" applyNumberFormat="1" applyFont="1" applyFill="1"/>
    <xf numFmtId="0" fontId="0" fillId="9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27" fillId="0" borderId="0" xfId="0" applyFont="1"/>
    <xf numFmtId="0" fontId="12" fillId="7" borderId="0" xfId="0" applyFont="1" applyFill="1" applyAlignment="1">
      <alignment horizontal="center" vertical="center" wrapText="1"/>
    </xf>
    <xf numFmtId="0" fontId="29" fillId="8" borderId="0" xfId="0" applyFont="1" applyFill="1" applyAlignment="1">
      <alignment horizontal="center" vertical="center" wrapText="1"/>
    </xf>
    <xf numFmtId="0" fontId="0" fillId="0" borderId="14" xfId="0" applyBorder="1" applyAlignment="1">
      <alignment vertical="top" wrapText="1"/>
    </xf>
    <xf numFmtId="0" fontId="0" fillId="11" borderId="14" xfId="0" applyFill="1" applyBorder="1" applyAlignment="1">
      <alignment vertical="top" wrapText="1"/>
    </xf>
    <xf numFmtId="170" fontId="0" fillId="0" borderId="14" xfId="0" applyNumberFormat="1" applyBorder="1" applyAlignment="1">
      <alignment horizontal="center" vertical="top"/>
    </xf>
    <xf numFmtId="2" fontId="0" fillId="0" borderId="14" xfId="0" applyNumberFormat="1" applyBorder="1" applyAlignment="1">
      <alignment horizontal="center" vertical="top"/>
    </xf>
    <xf numFmtId="0" fontId="23" fillId="0" borderId="0" xfId="0" applyFont="1"/>
    <xf numFmtId="0" fontId="26" fillId="9" borderId="0" xfId="0" applyFont="1" applyFill="1" applyAlignment="1">
      <alignment vertical="center"/>
    </xf>
    <xf numFmtId="0" fontId="25" fillId="10" borderId="11" xfId="0" applyFont="1" applyFill="1" applyBorder="1" applyAlignment="1">
      <alignment horizontal="left" vertical="top" wrapText="1" indent="1"/>
    </xf>
    <xf numFmtId="0" fontId="25" fillId="10" borderId="8" xfId="0" applyFont="1" applyFill="1" applyBorder="1" applyAlignment="1">
      <alignment horizontal="left" vertical="top" wrapText="1" indent="1"/>
    </xf>
    <xf numFmtId="0" fontId="25" fillId="10" borderId="9" xfId="0" applyFont="1" applyFill="1" applyBorder="1" applyAlignment="1">
      <alignment horizontal="left" vertical="top" wrapText="1" indent="1"/>
    </xf>
    <xf numFmtId="0" fontId="24" fillId="10" borderId="10" xfId="0" applyFont="1" applyFill="1" applyBorder="1" applyAlignment="1">
      <alignment horizontal="left" vertical="center" indent="1"/>
    </xf>
    <xf numFmtId="0" fontId="24" fillId="10" borderId="12" xfId="0" applyFont="1" applyFill="1" applyBorder="1" applyAlignment="1">
      <alignment horizontal="left" vertical="center" indent="1"/>
    </xf>
    <xf numFmtId="0" fontId="24" fillId="10" borderId="13" xfId="0" applyFont="1" applyFill="1" applyBorder="1" applyAlignment="1">
      <alignment horizontal="left" vertical="center" indent="1"/>
    </xf>
    <xf numFmtId="3" fontId="20" fillId="10" borderId="5" xfId="0" applyNumberFormat="1" applyFont="1" applyFill="1" applyBorder="1" applyAlignment="1">
      <alignment horizontal="left" vertical="center" indent="1"/>
    </xf>
    <xf numFmtId="3" fontId="20" fillId="10" borderId="0" xfId="0" applyNumberFormat="1" applyFont="1" applyFill="1" applyAlignment="1">
      <alignment horizontal="left" vertical="center" indent="1"/>
    </xf>
    <xf numFmtId="3" fontId="20" fillId="10" borderId="6" xfId="0" applyNumberFormat="1" applyFont="1" applyFill="1" applyBorder="1" applyAlignment="1">
      <alignment horizontal="left" vertical="center" indent="1"/>
    </xf>
    <xf numFmtId="0" fontId="21" fillId="10" borderId="5" xfId="0" applyFont="1" applyFill="1" applyBorder="1" applyAlignment="1">
      <alignment horizontal="left" vertical="center" indent="1"/>
    </xf>
    <xf numFmtId="0" fontId="21" fillId="10" borderId="0" xfId="0" applyFont="1" applyFill="1" applyAlignment="1">
      <alignment horizontal="left" vertical="center" indent="1"/>
    </xf>
    <xf numFmtId="0" fontId="21" fillId="10" borderId="6" xfId="0" applyFont="1" applyFill="1" applyBorder="1" applyAlignment="1">
      <alignment horizontal="left" vertical="center" indent="1"/>
    </xf>
    <xf numFmtId="0" fontId="22" fillId="10" borderId="7" xfId="0" applyFont="1" applyFill="1" applyBorder="1" applyAlignment="1">
      <alignment horizontal="left" vertical="top" indent="1"/>
    </xf>
    <xf numFmtId="0" fontId="22" fillId="10" borderId="8" xfId="0" applyFont="1" applyFill="1" applyBorder="1" applyAlignment="1">
      <alignment horizontal="left" vertical="top" indent="1"/>
    </xf>
    <xf numFmtId="0" fontId="22" fillId="10" borderId="9" xfId="0" applyFont="1" applyFill="1" applyBorder="1" applyAlignment="1">
      <alignment horizontal="left" vertical="top" indent="1"/>
    </xf>
    <xf numFmtId="0" fontId="23" fillId="9" borderId="0" xfId="0" applyFont="1" applyFill="1" applyAlignment="1">
      <alignment vertical="center"/>
    </xf>
    <xf numFmtId="165" fontId="20" fillId="10" borderId="5" xfId="0" applyNumberFormat="1" applyFont="1" applyFill="1" applyBorder="1" applyAlignment="1">
      <alignment horizontal="left" vertical="center" indent="1"/>
    </xf>
    <xf numFmtId="165" fontId="20" fillId="10" borderId="0" xfId="0" applyNumberFormat="1" applyFont="1" applyFill="1" applyAlignment="1">
      <alignment horizontal="left" vertical="center" indent="1"/>
    </xf>
    <xf numFmtId="165" fontId="20" fillId="10" borderId="6" xfId="0" applyNumberFormat="1" applyFont="1" applyFill="1" applyBorder="1" applyAlignment="1">
      <alignment horizontal="left" vertical="center" indent="1"/>
    </xf>
    <xf numFmtId="0" fontId="19" fillId="10" borderId="2" xfId="0" applyFont="1" applyFill="1" applyBorder="1" applyAlignment="1">
      <alignment horizontal="left" indent="1"/>
    </xf>
    <xf numFmtId="0" fontId="19" fillId="10" borderId="3" xfId="0" applyFont="1" applyFill="1" applyBorder="1" applyAlignment="1">
      <alignment horizontal="left" indent="1"/>
    </xf>
    <xf numFmtId="0" fontId="19" fillId="10" borderId="4" xfId="0" applyFont="1" applyFill="1" applyBorder="1" applyAlignment="1">
      <alignment horizontal="left" indent="1"/>
    </xf>
    <xf numFmtId="170" fontId="20" fillId="10" borderId="5" xfId="0" applyNumberFormat="1" applyFont="1" applyFill="1" applyBorder="1" applyAlignment="1">
      <alignment horizontal="left" vertical="center" indent="1"/>
    </xf>
    <xf numFmtId="170" fontId="20" fillId="10" borderId="0" xfId="0" applyNumberFormat="1" applyFont="1" applyFill="1" applyAlignment="1">
      <alignment horizontal="left" vertical="center" indent="1"/>
    </xf>
    <xf numFmtId="170" fontId="20" fillId="10" borderId="6" xfId="0" applyNumberFormat="1" applyFont="1" applyFill="1" applyBorder="1" applyAlignment="1">
      <alignment horizontal="left" vertical="center" indent="1"/>
    </xf>
    <xf numFmtId="169" fontId="20" fillId="10" borderId="5" xfId="0" applyNumberFormat="1" applyFont="1" applyFill="1" applyBorder="1" applyAlignment="1">
      <alignment horizontal="left" vertical="center" indent="1"/>
    </xf>
    <xf numFmtId="169" fontId="20" fillId="10" borderId="0" xfId="0" applyNumberFormat="1" applyFont="1" applyFill="1" applyAlignment="1">
      <alignment horizontal="left" vertical="center" indent="1"/>
    </xf>
    <xf numFmtId="169" fontId="20" fillId="10" borderId="6" xfId="0" applyNumberFormat="1" applyFont="1" applyFill="1" applyBorder="1" applyAlignment="1">
      <alignment horizontal="left" vertical="center" indent="1"/>
    </xf>
    <xf numFmtId="0" fontId="16" fillId="7" borderId="0" xfId="0" applyFont="1" applyFill="1" applyAlignment="1">
      <alignment vertical="center"/>
    </xf>
    <xf numFmtId="0" fontId="17" fillId="7" borderId="0" xfId="0" applyFont="1" applyFill="1" applyAlignment="1">
      <alignment vertical="center"/>
    </xf>
    <xf numFmtId="0" fontId="18" fillId="7" borderId="0" xfId="0" applyFont="1" applyFill="1" applyAlignment="1">
      <alignment horizontal="right" vertical="center"/>
    </xf>
    <xf numFmtId="0" fontId="17" fillId="7" borderId="0" xfId="0" applyFont="1" applyFill="1" applyAlignment="1">
      <alignment horizontal="right" vertical="center"/>
    </xf>
    <xf numFmtId="0" fontId="11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8">
    <dxf>
      <font>
        <b/>
        <color rgb="FF0B4F4A"/>
      </font>
    </dxf>
    <dxf>
      <font>
        <b/>
        <color rgb="FFE08A2C"/>
      </font>
    </dxf>
    <dxf>
      <numFmt numFmtId="166" formatCode="dd/mm/yyyy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4" formatCode="&quot;$&quot;\ #,##0"/>
    </dxf>
    <dxf>
      <numFmt numFmtId="166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247650</xdr:colOff>
      <xdr:row>3</xdr:row>
      <xdr:rowOff>95250</xdr:rowOff>
    </xdr:from>
    <xdr:to>
      <xdr:col>4</xdr:col>
      <xdr:colOff>257175</xdr:colOff>
      <xdr:row>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857500" y="666750"/>
          <a:ext cx="2190750" cy="952500"/>
        </a:xfrm>
        <a:prstGeom prst="rect">
          <a:avLst/>
        </a:prstGeom>
        <a:solidFill>
          <a:srgbClr val="E6F1F0"/>
        </a:solidFill>
        <a:ln w="19050" cmpd="sng">
          <a:solidFill>
            <a:srgbClr val="0B4F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0">
              <a:solidFill>
                <a:srgbClr val="1D2B2A"/>
              </a:solidFill>
              <a:latin typeface="Calibri"/>
              <a:cs typeface="Calibri"/>
            </a:rPr>
            <a:t>CALENDARIO (dimensión)</a:t>
          </a:r>
        </a:p>
        <a:p>
          <a:r>
            <a:rPr lang="en-US" sz="1100" b="0">
              <a:solidFill>
                <a:srgbClr val="1D2B2A"/>
              </a:solidFill>
              <a:latin typeface="Calibri"/>
              <a:cs typeface="Calibri"/>
            </a:rPr>
            <a:t>Fecha (PK) · Año · N° Mes</a:t>
          </a:r>
        </a:p>
        <a:p>
          <a:r>
            <a:rPr lang="en-US" sz="1100" b="0">
              <a:solidFill>
                <a:srgbClr val="1D2B2A"/>
              </a:solidFill>
              <a:latin typeface="Calibri"/>
              <a:cs typeface="Calibri"/>
            </a:rPr>
            <a:t>Mes · Trimestre</a:t>
          </a:r>
        </a:p>
      </xdr:txBody>
    </xdr:sp>
    <xdr:clientData/>
  </xdr:twoCellAnchor>
  <xdr:twoCellAnchor editAs="absolute">
    <xdr:from>
      <xdr:col>3</xdr:col>
      <xdr:colOff>247650</xdr:colOff>
      <xdr:row>12</xdr:row>
      <xdr:rowOff>0</xdr:rowOff>
    </xdr:from>
    <xdr:to>
      <xdr:col>4</xdr:col>
      <xdr:colOff>257175</xdr:colOff>
      <xdr:row>19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857500" y="2286000"/>
          <a:ext cx="2190750" cy="1333500"/>
        </a:xfrm>
        <a:prstGeom prst="rect">
          <a:avLst/>
        </a:prstGeom>
        <a:solidFill>
          <a:srgbClr val="0B4F4A"/>
        </a:solidFill>
        <a:ln w="19050" cmpd="sng">
          <a:solidFill>
            <a:srgbClr val="0B4F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0">
              <a:solidFill>
                <a:srgbClr val="FFFFFF"/>
              </a:solidFill>
              <a:latin typeface="Calibri"/>
              <a:cs typeface="Calibri"/>
            </a:rPr>
            <a:t>VENTAS HECHOS (hechos)</a:t>
          </a:r>
        </a:p>
        <a:p>
          <a:r>
            <a:rPr lang="en-US" sz="1100" b="0">
              <a:solidFill>
                <a:srgbClr val="FFFFFF"/>
              </a:solidFill>
              <a:latin typeface="Calibri"/>
              <a:cs typeface="Calibri"/>
            </a:rPr>
            <a:t>ID_Venta · Fecha (FK)</a:t>
          </a:r>
        </a:p>
        <a:p>
          <a:r>
            <a:rPr lang="en-US" sz="1100" b="0">
              <a:solidFill>
                <a:srgbClr val="FFFFFF"/>
              </a:solidFill>
              <a:latin typeface="Calibri"/>
              <a:cs typeface="Calibri"/>
            </a:rPr>
            <a:t>ID_Cliente (FK) · ID_Producto (FK)</a:t>
          </a:r>
        </a:p>
        <a:p>
          <a:r>
            <a:rPr lang="en-US" sz="1100" b="0">
              <a:solidFill>
                <a:srgbClr val="FFFFFF"/>
              </a:solidFill>
              <a:latin typeface="Calibri"/>
              <a:cs typeface="Calibri"/>
            </a:rPr>
            <a:t>Cantidad · Precio_Unitario · Monto</a:t>
          </a:r>
        </a:p>
      </xdr:txBody>
    </xdr:sp>
    <xdr:clientData/>
  </xdr:twoCellAnchor>
  <xdr:twoCellAnchor editAs="absolute">
    <xdr:from>
      <xdr:col>1</xdr:col>
      <xdr:colOff>9525</xdr:colOff>
      <xdr:row>13</xdr:row>
      <xdr:rowOff>0</xdr:rowOff>
    </xdr:from>
    <xdr:to>
      <xdr:col>2</xdr:col>
      <xdr:colOff>152400</xdr:colOff>
      <xdr:row>18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90500" y="2476500"/>
          <a:ext cx="2190750" cy="952500"/>
        </a:xfrm>
        <a:prstGeom prst="rect">
          <a:avLst/>
        </a:prstGeom>
        <a:solidFill>
          <a:srgbClr val="E6F1F0"/>
        </a:solidFill>
        <a:ln w="19050" cmpd="sng">
          <a:solidFill>
            <a:srgbClr val="0B4F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0">
              <a:solidFill>
                <a:srgbClr val="1D2B2A"/>
              </a:solidFill>
              <a:latin typeface="Calibri"/>
              <a:cs typeface="Calibri"/>
            </a:rPr>
            <a:t>CLIENTES (dimensión)</a:t>
          </a:r>
        </a:p>
        <a:p>
          <a:r>
            <a:rPr lang="en-US" sz="1100" b="0">
              <a:solidFill>
                <a:srgbClr val="1D2B2A"/>
              </a:solidFill>
              <a:latin typeface="Calibri"/>
              <a:cs typeface="Calibri"/>
            </a:rPr>
            <a:t>ID_Cliente (PK)</a:t>
          </a:r>
        </a:p>
        <a:p>
          <a:r>
            <a:rPr lang="en-US" sz="1100" b="0">
              <a:solidFill>
                <a:srgbClr val="1D2B2A"/>
              </a:solidFill>
              <a:latin typeface="Calibri"/>
              <a:cs typeface="Calibri"/>
            </a:rPr>
            <a:t>Cliente · Segmento · Ciudad</a:t>
          </a:r>
        </a:p>
      </xdr:txBody>
    </xdr:sp>
    <xdr:clientData/>
  </xdr:twoCellAnchor>
  <xdr:twoCellAnchor editAs="absolute">
    <xdr:from>
      <xdr:col>5</xdr:col>
      <xdr:colOff>123825</xdr:colOff>
      <xdr:row>13</xdr:row>
      <xdr:rowOff>0</xdr:rowOff>
    </xdr:from>
    <xdr:to>
      <xdr:col>8</xdr:col>
      <xdr:colOff>485775</xdr:colOff>
      <xdr:row>18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524500" y="2476500"/>
          <a:ext cx="2190750" cy="952500"/>
        </a:xfrm>
        <a:prstGeom prst="rect">
          <a:avLst/>
        </a:prstGeom>
        <a:solidFill>
          <a:srgbClr val="E6F1F0"/>
        </a:solidFill>
        <a:ln w="19050" cmpd="sng">
          <a:solidFill>
            <a:srgbClr val="0B4F4A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100" b="0">
              <a:solidFill>
                <a:srgbClr val="1D2B2A"/>
              </a:solidFill>
              <a:latin typeface="Calibri"/>
              <a:cs typeface="Calibri"/>
            </a:rPr>
            <a:t>PRODUCTOS (dimensión)</a:t>
          </a:r>
        </a:p>
        <a:p>
          <a:r>
            <a:rPr lang="en-US" sz="1100" b="0">
              <a:solidFill>
                <a:srgbClr val="1D2B2A"/>
              </a:solidFill>
              <a:latin typeface="Calibri"/>
              <a:cs typeface="Calibri"/>
            </a:rPr>
            <a:t>ID_Producto (PK)</a:t>
          </a:r>
        </a:p>
        <a:p>
          <a:r>
            <a:rPr lang="en-US" sz="1100" b="0">
              <a:solidFill>
                <a:srgbClr val="1D2B2A"/>
              </a:solidFill>
              <a:latin typeface="Calibri"/>
              <a:cs typeface="Calibri"/>
            </a:rPr>
            <a:t>Producto · Categoría</a:t>
          </a:r>
        </a:p>
        <a:p>
          <a:r>
            <a:rPr lang="en-US" sz="1100" b="0">
              <a:solidFill>
                <a:srgbClr val="1D2B2A"/>
              </a:solidFill>
              <a:latin typeface="Calibri"/>
              <a:cs typeface="Calibri"/>
            </a:rPr>
            <a:t>Costo_Unitario · Precio_Lista</a:t>
          </a:r>
        </a:p>
      </xdr:txBody>
    </xdr:sp>
    <xdr:clientData/>
  </xdr:twoCellAnchor>
  <xdr:twoCellAnchor editAs="absolute">
    <xdr:from>
      <xdr:col>3</xdr:col>
      <xdr:colOff>1152525</xdr:colOff>
      <xdr:row>9</xdr:row>
      <xdr:rowOff>47625</xdr:rowOff>
    </xdr:from>
    <xdr:to>
      <xdr:col>3</xdr:col>
      <xdr:colOff>1533525</xdr:colOff>
      <xdr:row>11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3762375" y="1762125"/>
          <a:ext cx="381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2000" b="1">
              <a:solidFill>
                <a:srgbClr val="0B4F4A"/>
              </a:solidFill>
              <a:latin typeface="Calibri"/>
              <a:cs typeface="Calibri"/>
            </a:rPr>
            <a:t>▼</a:t>
          </a:r>
        </a:p>
      </xdr:txBody>
    </xdr:sp>
    <xdr:clientData/>
  </xdr:twoCellAnchor>
  <xdr:twoCellAnchor editAs="absolute">
    <xdr:from>
      <xdr:col>2</xdr:col>
      <xdr:colOff>200025</xdr:colOff>
      <xdr:row>14</xdr:row>
      <xdr:rowOff>95250</xdr:rowOff>
    </xdr:from>
    <xdr:to>
      <xdr:col>3</xdr:col>
      <xdr:colOff>200025</xdr:colOff>
      <xdr:row>16</xdr:row>
      <xdr:rowOff>95250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2428875" y="2762250"/>
          <a:ext cx="381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2000" b="1">
              <a:solidFill>
                <a:srgbClr val="0B4F4A"/>
              </a:solidFill>
              <a:latin typeface="Calibri"/>
              <a:cs typeface="Calibri"/>
            </a:rPr>
            <a:t>▶</a:t>
          </a:r>
        </a:p>
      </xdr:txBody>
    </xdr:sp>
    <xdr:clientData/>
  </xdr:twoCellAnchor>
  <xdr:twoCellAnchor editAs="absolute">
    <xdr:from>
      <xdr:col>4</xdr:col>
      <xdr:colOff>304800</xdr:colOff>
      <xdr:row>14</xdr:row>
      <xdr:rowOff>95250</xdr:rowOff>
    </xdr:from>
    <xdr:to>
      <xdr:col>5</xdr:col>
      <xdr:colOff>76200</xdr:colOff>
      <xdr:row>16</xdr:row>
      <xdr:rowOff>95250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095875" y="2762250"/>
          <a:ext cx="381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2000" b="1">
              <a:solidFill>
                <a:srgbClr val="0B4F4A"/>
              </a:solidFill>
              <a:latin typeface="Calibri"/>
              <a:cs typeface="Calibri"/>
            </a:rPr>
            <a:t>◀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VentasHechos" displayName="tblVentasHechos" ref="A1:G397" totalsRowShown="0">
  <autoFilter ref="A1:G397" xr:uid="{00000000-0009-0000-0100-000001000000}"/>
  <tableColumns count="7">
    <tableColumn id="1" xr3:uid="{00000000-0010-0000-0000-000001000000}" name="ID_Venta"/>
    <tableColumn id="2" xr3:uid="{00000000-0010-0000-0000-000002000000}" name="Fecha" dataDxfId="7"/>
    <tableColumn id="3" xr3:uid="{00000000-0010-0000-0000-000003000000}" name="ID_Cliente"/>
    <tableColumn id="4" xr3:uid="{00000000-0010-0000-0000-000004000000}" name="ID_Producto"/>
    <tableColumn id="5" xr3:uid="{00000000-0010-0000-0000-000005000000}" name="Cantidad"/>
    <tableColumn id="6" xr3:uid="{00000000-0010-0000-0000-000006000000}" name="Precio_Unitario" dataDxfId="6"/>
    <tableColumn id="7" xr3:uid="{00000000-0010-0000-0000-000007000000}" name="Monto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VentasCrudas" displayName="tblVentasCrudas" ref="A1:G421" totalsRowShown="0">
  <autoFilter ref="A1:G421" xr:uid="{00000000-0009-0000-0100-000002000000}"/>
  <tableColumns count="7">
    <tableColumn id="1" xr3:uid="{00000000-0010-0000-0100-000001000000}" name="ID_Venta"/>
    <tableColumn id="2" xr3:uid="{00000000-0010-0000-0100-000002000000}" name="Fecha"/>
    <tableColumn id="3" xr3:uid="{00000000-0010-0000-0100-000003000000}" name="ID_Cliente"/>
    <tableColumn id="4" xr3:uid="{00000000-0010-0000-0100-000004000000}" name="ID_Producto"/>
    <tableColumn id="5" xr3:uid="{00000000-0010-0000-0100-000005000000}" name="Cantidad"/>
    <tableColumn id="6" xr3:uid="{00000000-0010-0000-0100-000006000000}" name="Precio_Unitario"/>
    <tableColumn id="7" xr3:uid="{00000000-0010-0000-0100-000007000000}" name="Mon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lientes" displayName="tblClientes" ref="A1:D11" totalsRowShown="0">
  <autoFilter ref="A1:D11" xr:uid="{00000000-0009-0000-0100-000003000000}"/>
  <tableColumns count="4">
    <tableColumn id="1" xr3:uid="{00000000-0010-0000-0200-000001000000}" name="ID_Cliente"/>
    <tableColumn id="2" xr3:uid="{00000000-0010-0000-0200-000002000000}" name="Cliente"/>
    <tableColumn id="3" xr3:uid="{00000000-0010-0000-0200-000003000000}" name="Segmento"/>
    <tableColumn id="4" xr3:uid="{00000000-0010-0000-0200-000004000000}" name="Ciu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roductos" displayName="tblProductos" ref="A1:E11" totalsRowShown="0">
  <autoFilter ref="A1:E11" xr:uid="{00000000-0009-0000-0100-000004000000}"/>
  <tableColumns count="5">
    <tableColumn id="1" xr3:uid="{00000000-0010-0000-0300-000001000000}" name="ID_Producto"/>
    <tableColumn id="2" xr3:uid="{00000000-0010-0000-0300-000002000000}" name="Producto"/>
    <tableColumn id="3" xr3:uid="{00000000-0010-0000-0300-000003000000}" name="Categoría"/>
    <tableColumn id="4" xr3:uid="{00000000-0010-0000-0300-000004000000}" name="Costo_Unitario" dataDxfId="4"/>
    <tableColumn id="5" xr3:uid="{00000000-0010-0000-0300-000005000000}" name="Precio_Lista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alendario" displayName="tblCalendario" ref="A1:E366" totalsRowShown="0">
  <autoFilter ref="A1:E366" xr:uid="{00000000-0009-0000-0100-000005000000}"/>
  <tableColumns count="5">
    <tableColumn id="1" xr3:uid="{00000000-0010-0000-0400-000001000000}" name="Fecha" dataDxfId="2"/>
    <tableColumn id="2" xr3:uid="{00000000-0010-0000-0400-000002000000}" name="Año"/>
    <tableColumn id="3" xr3:uid="{00000000-0010-0000-0400-000003000000}" name="N° Mes"/>
    <tableColumn id="4" xr3:uid="{00000000-0010-0000-0400-000004000000}" name="Mes"/>
    <tableColumn id="5" xr3:uid="{00000000-0010-0000-0400-000005000000}" name="Trimest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BaseDash" displayName="tblBaseDash" ref="A1:P397" totalsRowShown="0">
  <autoFilter ref="A1:P397" xr:uid="{00000000-0009-0000-0100-000006000000}"/>
  <tableColumns count="16">
    <tableColumn id="1" xr3:uid="{00000000-0010-0000-0500-000001000000}" name="ID_Venta"/>
    <tableColumn id="2" xr3:uid="{00000000-0010-0000-0500-000002000000}" name="Fecha"/>
    <tableColumn id="3" xr3:uid="{00000000-0010-0000-0500-000003000000}" name="Mes"/>
    <tableColumn id="4" xr3:uid="{00000000-0010-0000-0500-000004000000}" name="Trimestre"/>
    <tableColumn id="5" xr3:uid="{00000000-0010-0000-0500-000005000000}" name="Producto"/>
    <tableColumn id="6" xr3:uid="{00000000-0010-0000-0500-000006000000}" name="Categoría"/>
    <tableColumn id="7" xr3:uid="{00000000-0010-0000-0500-000007000000}" name="Cliente"/>
    <tableColumn id="8" xr3:uid="{00000000-0010-0000-0500-000008000000}" name="Segmento"/>
    <tableColumn id="9" xr3:uid="{00000000-0010-0000-0500-000009000000}" name="Ciudad"/>
    <tableColumn id="10" xr3:uid="{00000000-0010-0000-0500-00000A000000}" name="Cantidad"/>
    <tableColumn id="11" xr3:uid="{00000000-0010-0000-0500-00000B000000}" name="Precio_Unitario"/>
    <tableColumn id="12" xr3:uid="{00000000-0010-0000-0500-00000C000000}" name="Monto"/>
    <tableColumn id="13" xr3:uid="{00000000-0010-0000-0500-00000D000000}" name="Costo"/>
    <tableColumn id="14" xr3:uid="{00000000-0010-0000-0500-00000E000000}" name="Margen"/>
    <tableColumn id="15" xr3:uid="{00000000-0010-0000-0500-00000F000000}" name="Desvío_Precio"/>
    <tableColumn id="16" xr3:uid="{00000000-0010-0000-0500-000010000000}" name="Visibl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58A0-F11F-9046-835E-E67727A0980F}">
  <sheetPr>
    <pageSetUpPr fitToPage="1"/>
  </sheetPr>
  <dimension ref="A1:DP60"/>
  <sheetViews>
    <sheetView showGridLines="0" showRowColHeaders="0" zoomScale="85" zoomScaleNormal="85" workbookViewId="0"/>
  </sheetViews>
  <sheetFormatPr baseColWidth="10" defaultColWidth="8.83203125" defaultRowHeight="15" x14ac:dyDescent="0.2"/>
  <cols>
    <col min="1" max="1" width="1.5" style="37" customWidth="1"/>
    <col min="2" max="120" width="2.83203125" style="37" customWidth="1"/>
  </cols>
  <sheetData>
    <row r="1" spans="2:64" s="38" customFormat="1" ht="8" customHeight="1" x14ac:dyDescent="0.2"/>
    <row r="2" spans="2:64" s="38" customFormat="1" ht="30" customHeight="1" x14ac:dyDescent="0.2">
      <c r="B2" s="76" t="s">
        <v>390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8" t="s">
        <v>391</v>
      </c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2:64" s="38" customFormat="1" ht="18" customHeight="1" x14ac:dyDescent="0.2">
      <c r="B3" s="77" t="str">
        <f>Calc_Dashboard!B110</f>
        <v>Vista actual: 9 de 9 meses · 5 de 5 categorías · 4 de 4 segmentos · 7 de 7 ciudades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9" t="str">
        <f>"Fuente: tblVentasHechos · "&amp;COUNT(Datos_Ventas!A2:A397)&amp;" ventas · Ene–Sep 2026"</f>
        <v>Fuente: tblVentasHechos · 396 ventas · Ene–Sep 2026</v>
      </c>
      <c r="AX3" s="79"/>
      <c r="AY3" s="79"/>
      <c r="AZ3" s="79"/>
      <c r="BA3" s="79"/>
      <c r="BB3" s="79"/>
      <c r="BC3" s="79"/>
      <c r="BD3" s="79"/>
      <c r="BE3" s="79"/>
      <c r="BF3" s="79"/>
      <c r="BG3" s="79"/>
      <c r="BH3" s="79"/>
      <c r="BI3" s="79"/>
      <c r="BJ3" s="79"/>
      <c r="BK3" s="79"/>
      <c r="BL3" s="79"/>
    </row>
    <row r="4" spans="2:64" s="38" customFormat="1" ht="8" customHeight="1" x14ac:dyDescent="0.2"/>
    <row r="5" spans="2:64" s="37" customFormat="1" ht="10" customHeight="1" x14ac:dyDescent="0.2"/>
    <row r="6" spans="2:64" s="37" customFormat="1" ht="20" customHeight="1" x14ac:dyDescent="0.15">
      <c r="K6" s="67" t="s">
        <v>392</v>
      </c>
      <c r="L6" s="68"/>
      <c r="M6" s="68"/>
      <c r="N6" s="68"/>
      <c r="O6" s="68"/>
      <c r="P6" s="68"/>
      <c r="Q6" s="68"/>
      <c r="R6" s="68"/>
      <c r="S6" s="68"/>
      <c r="T6" s="69"/>
      <c r="V6" s="67" t="s">
        <v>393</v>
      </c>
      <c r="W6" s="68"/>
      <c r="X6" s="68"/>
      <c r="Y6" s="68"/>
      <c r="Z6" s="68"/>
      <c r="AA6" s="68"/>
      <c r="AB6" s="68"/>
      <c r="AC6" s="68"/>
      <c r="AD6" s="68"/>
      <c r="AE6" s="69"/>
      <c r="AG6" s="67" t="s">
        <v>394</v>
      </c>
      <c r="AH6" s="68"/>
      <c r="AI6" s="68"/>
      <c r="AJ6" s="68"/>
      <c r="AK6" s="68"/>
      <c r="AL6" s="68"/>
      <c r="AM6" s="68"/>
      <c r="AN6" s="68"/>
      <c r="AO6" s="68"/>
      <c r="AP6" s="69"/>
      <c r="AR6" s="67" t="s">
        <v>395</v>
      </c>
      <c r="AS6" s="68"/>
      <c r="AT6" s="68"/>
      <c r="AU6" s="68"/>
      <c r="AV6" s="68"/>
      <c r="AW6" s="68"/>
      <c r="AX6" s="68"/>
      <c r="AY6" s="68"/>
      <c r="AZ6" s="68"/>
      <c r="BA6" s="69"/>
      <c r="BC6" s="67" t="s">
        <v>396</v>
      </c>
      <c r="BD6" s="68"/>
      <c r="BE6" s="68"/>
      <c r="BF6" s="68"/>
      <c r="BG6" s="68"/>
      <c r="BH6" s="68"/>
      <c r="BI6" s="68"/>
      <c r="BJ6" s="68"/>
      <c r="BK6" s="68"/>
      <c r="BL6" s="69"/>
    </row>
    <row r="7" spans="2:64" s="37" customFormat="1" ht="36" customHeight="1" x14ac:dyDescent="0.2">
      <c r="K7" s="73">
        <f>Calc_Dashboard!B3</f>
        <v>53694490</v>
      </c>
      <c r="L7" s="74"/>
      <c r="M7" s="74"/>
      <c r="N7" s="74"/>
      <c r="O7" s="74"/>
      <c r="P7" s="74"/>
      <c r="Q7" s="74"/>
      <c r="R7" s="74"/>
      <c r="S7" s="74"/>
      <c r="T7" s="75"/>
      <c r="V7" s="64">
        <f>Calc_Dashboard!B6</f>
        <v>0.38570046945226594</v>
      </c>
      <c r="W7" s="65"/>
      <c r="X7" s="65"/>
      <c r="Y7" s="65"/>
      <c r="Z7" s="65"/>
      <c r="AA7" s="65"/>
      <c r="AB7" s="65"/>
      <c r="AC7" s="65"/>
      <c r="AD7" s="65"/>
      <c r="AE7" s="66"/>
      <c r="AG7" s="64">
        <f>Calc_Dashboard!B13</f>
        <v>0.16499032861658619</v>
      </c>
      <c r="AH7" s="65"/>
      <c r="AI7" s="65"/>
      <c r="AJ7" s="65"/>
      <c r="AK7" s="65"/>
      <c r="AL7" s="65"/>
      <c r="AM7" s="65"/>
      <c r="AN7" s="65"/>
      <c r="AO7" s="65"/>
      <c r="AP7" s="66"/>
      <c r="AR7" s="70">
        <f>Calc_Dashboard!B126</f>
        <v>7.9837445573294641E-2</v>
      </c>
      <c r="AS7" s="71"/>
      <c r="AT7" s="71"/>
      <c r="AU7" s="71"/>
      <c r="AV7" s="71"/>
      <c r="AW7" s="71"/>
      <c r="AX7" s="71"/>
      <c r="AY7" s="71"/>
      <c r="AZ7" s="71"/>
      <c r="BA7" s="72"/>
      <c r="BC7" s="54">
        <f>Calc_Dashboard!B15</f>
        <v>8371</v>
      </c>
      <c r="BD7" s="55"/>
      <c r="BE7" s="55"/>
      <c r="BF7" s="55"/>
      <c r="BG7" s="55"/>
      <c r="BH7" s="55"/>
      <c r="BI7" s="55"/>
      <c r="BJ7" s="55"/>
      <c r="BK7" s="55"/>
      <c r="BL7" s="56"/>
    </row>
    <row r="8" spans="2:64" s="37" customFormat="1" ht="16" customHeight="1" x14ac:dyDescent="0.2">
      <c r="K8" s="57" t="str">
        <f>Calc_Dashboard!B117</f>
        <v>Ticket $135,6 mil · 396 ventas</v>
      </c>
      <c r="L8" s="58"/>
      <c r="M8" s="58"/>
      <c r="N8" s="58"/>
      <c r="O8" s="58"/>
      <c r="P8" s="58"/>
      <c r="Q8" s="58"/>
      <c r="R8" s="58"/>
      <c r="S8" s="58"/>
      <c r="T8" s="59"/>
      <c r="V8" s="57" t="str">
        <f>Calc_Dashboard!B118</f>
        <v>Margen bruto $20,7 M · costo 61,4%</v>
      </c>
      <c r="W8" s="58"/>
      <c r="X8" s="58"/>
      <c r="Y8" s="58"/>
      <c r="Z8" s="58"/>
      <c r="AA8" s="58"/>
      <c r="AB8" s="58"/>
      <c r="AC8" s="58"/>
      <c r="AD8" s="58"/>
      <c r="AE8" s="59"/>
      <c r="AG8" s="57" t="str">
        <f>Calc_Dashboard!B119</f>
        <v>Margen neto $8,9 M · opex 15%</v>
      </c>
      <c r="AH8" s="58"/>
      <c r="AI8" s="58"/>
      <c r="AJ8" s="58"/>
      <c r="AK8" s="58"/>
      <c r="AL8" s="58"/>
      <c r="AM8" s="58"/>
      <c r="AN8" s="58"/>
      <c r="AO8" s="58"/>
      <c r="AP8" s="59"/>
      <c r="AR8" s="57" t="str">
        <f>Calc_Dashboard!B120</f>
        <v>Sep vs Ago (último mes visible)</v>
      </c>
      <c r="AS8" s="58"/>
      <c r="AT8" s="58"/>
      <c r="AU8" s="58"/>
      <c r="AV8" s="58"/>
      <c r="AW8" s="58"/>
      <c r="AX8" s="58"/>
      <c r="AY8" s="58"/>
      <c r="AZ8" s="58"/>
      <c r="BA8" s="59"/>
      <c r="BC8" s="57" t="str">
        <f>Calc_Dashboard!B121</f>
        <v>21,1 u. por venta · 7 ciudades</v>
      </c>
      <c r="BD8" s="58"/>
      <c r="BE8" s="58"/>
      <c r="BF8" s="58"/>
      <c r="BG8" s="58"/>
      <c r="BH8" s="58"/>
      <c r="BI8" s="58"/>
      <c r="BJ8" s="58"/>
      <c r="BK8" s="58"/>
      <c r="BL8" s="59"/>
    </row>
    <row r="9" spans="2:64" s="37" customFormat="1" ht="16" customHeight="1" x14ac:dyDescent="0.2">
      <c r="K9" s="60" t="s">
        <v>397</v>
      </c>
      <c r="L9" s="61"/>
      <c r="M9" s="61"/>
      <c r="N9" s="61"/>
      <c r="O9" s="61"/>
      <c r="P9" s="61"/>
      <c r="Q9" s="61"/>
      <c r="R9" s="61"/>
      <c r="S9" s="61"/>
      <c r="T9" s="62"/>
      <c r="V9" s="60" t="s">
        <v>398</v>
      </c>
      <c r="W9" s="61"/>
      <c r="X9" s="61"/>
      <c r="Y9" s="61"/>
      <c r="Z9" s="61"/>
      <c r="AA9" s="61"/>
      <c r="AB9" s="61"/>
      <c r="AC9" s="61"/>
      <c r="AD9" s="61"/>
      <c r="AE9" s="62"/>
      <c r="AG9" s="60" t="s">
        <v>399</v>
      </c>
      <c r="AH9" s="61"/>
      <c r="AI9" s="61"/>
      <c r="AJ9" s="61"/>
      <c r="AK9" s="61"/>
      <c r="AL9" s="61"/>
      <c r="AM9" s="61"/>
      <c r="AN9" s="61"/>
      <c r="AO9" s="61"/>
      <c r="AP9" s="62"/>
      <c r="AR9" s="60" t="s">
        <v>400</v>
      </c>
      <c r="AS9" s="61"/>
      <c r="AT9" s="61"/>
      <c r="AU9" s="61"/>
      <c r="AV9" s="61"/>
      <c r="AW9" s="61"/>
      <c r="AX9" s="61"/>
      <c r="AY9" s="61"/>
      <c r="AZ9" s="61"/>
      <c r="BA9" s="62"/>
      <c r="BC9" s="60" t="s">
        <v>401</v>
      </c>
      <c r="BD9" s="61"/>
      <c r="BE9" s="61"/>
      <c r="BF9" s="61"/>
      <c r="BG9" s="61"/>
      <c r="BH9" s="61"/>
      <c r="BI9" s="61"/>
      <c r="BJ9" s="61"/>
      <c r="BK9" s="61"/>
      <c r="BL9" s="62"/>
    </row>
    <row r="10" spans="2:64" s="37" customFormat="1" ht="10" customHeight="1" x14ac:dyDescent="0.2"/>
    <row r="11" spans="2:64" s="37" customFormat="1" ht="20" customHeight="1" x14ac:dyDescent="0.2"/>
    <row r="12" spans="2:64" s="37" customFormat="1" ht="20" customHeight="1" x14ac:dyDescent="0.2"/>
    <row r="13" spans="2:64" s="37" customFormat="1" ht="20" customHeight="1" x14ac:dyDescent="0.2"/>
    <row r="14" spans="2:64" s="37" customFormat="1" ht="8" customHeight="1" x14ac:dyDescent="0.2"/>
    <row r="15" spans="2:64" s="37" customFormat="1" x14ac:dyDescent="0.2"/>
    <row r="16" spans="2:64" s="37" customFormat="1" x14ac:dyDescent="0.2"/>
    <row r="17" s="37" customFormat="1" x14ac:dyDescent="0.2"/>
    <row r="18" s="37" customFormat="1" x14ac:dyDescent="0.2"/>
    <row r="19" s="37" customFormat="1" x14ac:dyDescent="0.2"/>
    <row r="20" s="37" customFormat="1" x14ac:dyDescent="0.2"/>
    <row r="21" s="37" customFormat="1" x14ac:dyDescent="0.2"/>
    <row r="22" s="37" customFormat="1" x14ac:dyDescent="0.2"/>
    <row r="23" s="37" customFormat="1" x14ac:dyDescent="0.2"/>
    <row r="24" s="37" customFormat="1" x14ac:dyDescent="0.2"/>
    <row r="25" s="37" customFormat="1" x14ac:dyDescent="0.2"/>
    <row r="26" s="37" customFormat="1" x14ac:dyDescent="0.2"/>
    <row r="27" s="37" customFormat="1" x14ac:dyDescent="0.2"/>
    <row r="28" s="37" customFormat="1" x14ac:dyDescent="0.2"/>
    <row r="29" s="37" customFormat="1" x14ac:dyDescent="0.2"/>
    <row r="30" s="37" customFormat="1" x14ac:dyDescent="0.2"/>
    <row r="31" s="37" customFormat="1" ht="8" customHeight="1" x14ac:dyDescent="0.2"/>
    <row r="32" s="37" customFormat="1" x14ac:dyDescent="0.2"/>
    <row r="33" s="37" customFormat="1" x14ac:dyDescent="0.2"/>
    <row r="34" s="37" customFormat="1" x14ac:dyDescent="0.2"/>
    <row r="35" s="37" customFormat="1" x14ac:dyDescent="0.2"/>
    <row r="36" s="37" customFormat="1" x14ac:dyDescent="0.2"/>
    <row r="37" s="37" customFormat="1" x14ac:dyDescent="0.2"/>
    <row r="38" s="37" customFormat="1" x14ac:dyDescent="0.2"/>
    <row r="39" s="37" customFormat="1" x14ac:dyDescent="0.2"/>
    <row r="40" s="37" customFormat="1" x14ac:dyDescent="0.2"/>
    <row r="41" s="37" customFormat="1" x14ac:dyDescent="0.2"/>
    <row r="42" s="37" customFormat="1" x14ac:dyDescent="0.2"/>
    <row r="43" s="37" customFormat="1" x14ac:dyDescent="0.2"/>
    <row r="44" s="37" customFormat="1" x14ac:dyDescent="0.2"/>
    <row r="45" s="37" customFormat="1" x14ac:dyDescent="0.2"/>
    <row r="46" s="37" customFormat="1" x14ac:dyDescent="0.2"/>
    <row r="47" s="37" customFormat="1" x14ac:dyDescent="0.2"/>
    <row r="48" s="37" customFormat="1" ht="10" customHeight="1" x14ac:dyDescent="0.2"/>
    <row r="49" spans="2:64" s="37" customFormat="1" ht="20" customHeight="1" x14ac:dyDescent="0.2">
      <c r="K49" s="63" t="s">
        <v>402</v>
      </c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3"/>
      <c r="BK49" s="63"/>
      <c r="BL49" s="63"/>
    </row>
    <row r="50" spans="2:64" s="37" customFormat="1" ht="18" customHeight="1" x14ac:dyDescent="0.2">
      <c r="K50" s="51" t="s">
        <v>403</v>
      </c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3"/>
      <c r="AM50" s="51" t="s">
        <v>404</v>
      </c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3"/>
    </row>
    <row r="51" spans="2:64" s="37" customFormat="1" ht="58" customHeight="1" x14ac:dyDescent="0.2">
      <c r="K51" s="48" t="str">
        <f>Calc_Dashboard!B122</f>
        <v>Alimentos concentra el 53% de las ventas con margen de 33,4% vs 44,4% del resto. Hipótesis (IA): efecto mix. La categoría de mayor volumen compite por precio y su costo depende del proveedor, así que crecer ahí diluye el margen total. Acción: combos con categorías de mayor margen y renegociar costos de compra.</v>
      </c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50"/>
      <c r="AM51" s="48" t="str">
        <f>Calc_Dashboard!B123</f>
        <v>Correlación cantidad–precio r = 0,02: el descuento no depende del volumen. Pedidos de menos de 10 u. pagan en promedio 0,0% vs lista y los de 30+ u. 0,0%. Hipótesis (IA): descuentos discrecionales por vendedor o cliente, no una política por volumen. Acción: escala de descuentos por cantidad y aprobación para rebajas mayores al 5%.</v>
      </c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50"/>
    </row>
    <row r="52" spans="2:64" s="37" customFormat="1" ht="8" customHeight="1" x14ac:dyDescent="0.2"/>
    <row r="53" spans="2:64" s="37" customFormat="1" ht="18" customHeight="1" x14ac:dyDescent="0.2">
      <c r="K53" s="51" t="s">
        <v>405</v>
      </c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3"/>
      <c r="AM53" s="51" t="s">
        <v>406</v>
      </c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3"/>
    </row>
    <row r="54" spans="2:64" s="37" customFormat="1" ht="58" customHeight="1" x14ac:dyDescent="0.2">
      <c r="K54" s="48" t="str">
        <f>Calc_Dashboard!B124</f>
        <v>Mendoza factura el 35% del total con margen de 37,1% (promedio 38,6%). Hipótesis (IA): más competencia urbana o clientes con más poder de negociación. Validación: los descuentos son similares entre ciudades; la brecha se explica por el mix (más Alimentos). Acción: impulsar categorías de mayor margen por zona; referencia: Maipú (40,5%).</v>
      </c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50"/>
      <c r="AM54" s="48" t="str">
        <f>Calc_Dashboard!B125</f>
        <v>Pico en Mar ($7,9 M) y valle en Abr ($3,7 M, -53% vs pico). Hipótesis (IA): compras de reposición concentradas; el valle se explica por menos transacciones, no por menos días. Acción: planificar stock y promociones antes del valle y revisar el patrón por segmento con los filtros.</v>
      </c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50"/>
    </row>
    <row r="55" spans="2:64" s="37" customFormat="1" ht="8" customHeight="1" x14ac:dyDescent="0.2"/>
    <row r="56" spans="2:64" s="37" customFormat="1" ht="16" customHeight="1" x14ac:dyDescent="0.2">
      <c r="B56" s="47" t="s">
        <v>407</v>
      </c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</row>
    <row r="57" spans="2:64" s="37" customFormat="1" x14ac:dyDescent="0.2"/>
    <row r="58" spans="2:64" s="37" customFormat="1" x14ac:dyDescent="0.2"/>
    <row r="59" spans="2:64" s="37" customFormat="1" x14ac:dyDescent="0.2"/>
    <row r="60" spans="2:64" s="37" customFormat="1" x14ac:dyDescent="0.2"/>
  </sheetData>
  <mergeCells count="34">
    <mergeCell ref="B2:AV2"/>
    <mergeCell ref="B3:AV3"/>
    <mergeCell ref="AW2:BL2"/>
    <mergeCell ref="AW3:BL3"/>
    <mergeCell ref="K6:T6"/>
    <mergeCell ref="AG6:AP6"/>
    <mergeCell ref="BC6:BL6"/>
    <mergeCell ref="AR6:BA6"/>
    <mergeCell ref="AR7:BA7"/>
    <mergeCell ref="AR8:BA8"/>
    <mergeCell ref="AR9:BA9"/>
    <mergeCell ref="K7:T7"/>
    <mergeCell ref="K8:T8"/>
    <mergeCell ref="K9:T9"/>
    <mergeCell ref="V6:AE6"/>
    <mergeCell ref="V7:AE7"/>
    <mergeCell ref="V8:AE8"/>
    <mergeCell ref="V9:AE9"/>
    <mergeCell ref="BC7:BL7"/>
    <mergeCell ref="BC8:BL8"/>
    <mergeCell ref="BC9:BL9"/>
    <mergeCell ref="K49:BL49"/>
    <mergeCell ref="K50:AK50"/>
    <mergeCell ref="AG7:AP7"/>
    <mergeCell ref="AG8:AP8"/>
    <mergeCell ref="AG9:AP9"/>
    <mergeCell ref="B56:BL56"/>
    <mergeCell ref="K51:AK51"/>
    <mergeCell ref="AM50:BL50"/>
    <mergeCell ref="AM51:BL51"/>
    <mergeCell ref="K53:AK53"/>
    <mergeCell ref="K54:AK54"/>
    <mergeCell ref="AM53:BL53"/>
    <mergeCell ref="AM54:BL54"/>
  </mergeCells>
  <conditionalFormatting sqref="AR7">
    <cfRule type="cellIs" dxfId="1" priority="1" operator="lessThan">
      <formula>0</formula>
    </cfRule>
    <cfRule type="cellIs" dxfId="0" priority="2" operator="greaterThan">
      <formula>0</formula>
    </cfRule>
  </conditionalFormatting>
  <pageMargins left="0.3" right="0.3" top="0.4" bottom="0.4" header="0.2" footer="0.2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00625-7C12-0B4E-90EB-989B6C9C9599}">
  <dimension ref="B2:D16"/>
  <sheetViews>
    <sheetView showGridLines="0" workbookViewId="0">
      <selection activeCell="B4" sqref="B4"/>
    </sheetView>
  </sheetViews>
  <sheetFormatPr baseColWidth="10" defaultColWidth="8.83203125" defaultRowHeight="15" x14ac:dyDescent="0.2"/>
  <cols>
    <col min="1" max="1" width="2.6640625" customWidth="1"/>
    <col min="2" max="2" width="52.6640625" customWidth="1"/>
    <col min="3" max="3" width="30.6640625" customWidth="1"/>
    <col min="4" max="4" width="58.6640625" customWidth="1"/>
  </cols>
  <sheetData>
    <row r="2" spans="2:4" ht="26" x14ac:dyDescent="0.3">
      <c r="B2" s="1" t="s">
        <v>0</v>
      </c>
    </row>
    <row r="3" spans="2:4" x14ac:dyDescent="0.2">
      <c r="B3" s="2"/>
    </row>
    <row r="5" spans="2:4" x14ac:dyDescent="0.2">
      <c r="B5" s="3" t="s">
        <v>1</v>
      </c>
      <c r="C5" s="3" t="s">
        <v>2</v>
      </c>
      <c r="D5" s="3" t="s">
        <v>3</v>
      </c>
    </row>
    <row r="6" spans="2:4" ht="32" x14ac:dyDescent="0.2">
      <c r="B6" s="4" t="s">
        <v>4</v>
      </c>
      <c r="C6" s="4" t="s">
        <v>5</v>
      </c>
      <c r="D6" s="4" t="s">
        <v>6</v>
      </c>
    </row>
    <row r="7" spans="2:4" ht="32" x14ac:dyDescent="0.2">
      <c r="B7" s="4" t="s">
        <v>7</v>
      </c>
      <c r="C7" s="4" t="s">
        <v>8</v>
      </c>
      <c r="D7" s="4" t="s">
        <v>9</v>
      </c>
    </row>
    <row r="8" spans="2:4" ht="32" x14ac:dyDescent="0.2">
      <c r="B8" s="4" t="s">
        <v>10</v>
      </c>
      <c r="C8" s="4" t="s">
        <v>11</v>
      </c>
      <c r="D8" s="4" t="s">
        <v>12</v>
      </c>
    </row>
    <row r="9" spans="2:4" ht="16" x14ac:dyDescent="0.2">
      <c r="B9" s="4" t="s">
        <v>13</v>
      </c>
      <c r="C9" s="4" t="s">
        <v>14</v>
      </c>
      <c r="D9" s="4" t="s">
        <v>15</v>
      </c>
    </row>
    <row r="10" spans="2:4" ht="16" x14ac:dyDescent="0.2">
      <c r="B10" s="4" t="s">
        <v>16</v>
      </c>
      <c r="C10" s="4" t="s">
        <v>17</v>
      </c>
      <c r="D10" s="4" t="s">
        <v>18</v>
      </c>
    </row>
    <row r="11" spans="2:4" ht="16" x14ac:dyDescent="0.2">
      <c r="B11" s="4" t="s">
        <v>19</v>
      </c>
      <c r="C11" s="4" t="s">
        <v>20</v>
      </c>
      <c r="D11" s="4" t="s">
        <v>21</v>
      </c>
    </row>
    <row r="12" spans="2:4" ht="16" x14ac:dyDescent="0.2">
      <c r="B12" s="4" t="s">
        <v>22</v>
      </c>
      <c r="C12" s="4" t="s">
        <v>23</v>
      </c>
      <c r="D12" s="4" t="s">
        <v>24</v>
      </c>
    </row>
    <row r="13" spans="2:4" ht="32" customHeight="1" x14ac:dyDescent="0.2">
      <c r="B13" s="4" t="s">
        <v>408</v>
      </c>
      <c r="C13" s="4" t="s">
        <v>409</v>
      </c>
      <c r="D13" s="4" t="s">
        <v>410</v>
      </c>
    </row>
    <row r="14" spans="2:4" ht="32" customHeight="1" x14ac:dyDescent="0.2">
      <c r="B14" s="4" t="s">
        <v>411</v>
      </c>
      <c r="C14" s="4" t="s">
        <v>412</v>
      </c>
      <c r="D14" s="4" t="s">
        <v>413</v>
      </c>
    </row>
    <row r="15" spans="2:4" ht="32" customHeight="1" x14ac:dyDescent="0.2">
      <c r="B15" s="4" t="s">
        <v>414</v>
      </c>
      <c r="C15" s="4" t="s">
        <v>409</v>
      </c>
      <c r="D15" s="4" t="s">
        <v>415</v>
      </c>
    </row>
    <row r="16" spans="2:4" ht="32" customHeight="1" x14ac:dyDescent="0.2">
      <c r="B16" s="4" t="s">
        <v>416</v>
      </c>
      <c r="C16" s="4" t="s">
        <v>417</v>
      </c>
      <c r="D16" s="4" t="s">
        <v>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6253-516F-164A-9CF9-2614B03827C1}">
  <dimension ref="B2:D27"/>
  <sheetViews>
    <sheetView showGridLines="0" workbookViewId="0">
      <selection activeCell="B4" sqref="B4"/>
    </sheetView>
  </sheetViews>
  <sheetFormatPr baseColWidth="10" defaultColWidth="8.83203125" defaultRowHeight="15" x14ac:dyDescent="0.2"/>
  <cols>
    <col min="1" max="1" width="2.6640625" customWidth="1"/>
    <col min="2" max="2" width="30.6640625" customWidth="1"/>
    <col min="3" max="3" width="5.6640625" customWidth="1"/>
    <col min="4" max="4" width="32.6640625" customWidth="1"/>
  </cols>
  <sheetData>
    <row r="2" spans="2:2" ht="26" x14ac:dyDescent="0.3">
      <c r="B2" s="1" t="s">
        <v>381</v>
      </c>
    </row>
    <row r="3" spans="2:2" x14ac:dyDescent="0.2">
      <c r="B3" s="2"/>
    </row>
    <row r="24" spans="2:4" ht="16" x14ac:dyDescent="0.2">
      <c r="B24" s="5" t="s">
        <v>382</v>
      </c>
    </row>
    <row r="25" spans="2:4" x14ac:dyDescent="0.2">
      <c r="B25" s="8" t="s">
        <v>383</v>
      </c>
      <c r="C25" s="9" t="s">
        <v>384</v>
      </c>
      <c r="D25" s="8" t="s">
        <v>385</v>
      </c>
    </row>
    <row r="26" spans="2:4" x14ac:dyDescent="0.2">
      <c r="B26" s="8" t="s">
        <v>386</v>
      </c>
      <c r="C26" s="9" t="s">
        <v>384</v>
      </c>
      <c r="D26" s="8" t="s">
        <v>387</v>
      </c>
    </row>
    <row r="27" spans="2:4" x14ac:dyDescent="0.2">
      <c r="B27" s="8" t="s">
        <v>388</v>
      </c>
      <c r="C27" s="9" t="s">
        <v>384</v>
      </c>
      <c r="D27" s="8" t="s">
        <v>389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701B-09FD-B940-8FC0-C371DA90A070}">
  <dimension ref="B2:C33"/>
  <sheetViews>
    <sheetView showGridLines="0" topLeftCell="A29" workbookViewId="0">
      <selection activeCell="B14" sqref="B14"/>
    </sheetView>
  </sheetViews>
  <sheetFormatPr baseColWidth="10" defaultColWidth="8.83203125" defaultRowHeight="15" x14ac:dyDescent="0.2"/>
  <cols>
    <col min="1" max="1" width="2.6640625" customWidth="1"/>
    <col min="2" max="2" width="150.6640625" customWidth="1"/>
    <col min="3" max="3" width="20.6640625" customWidth="1"/>
  </cols>
  <sheetData>
    <row r="2" spans="2:2" ht="26" x14ac:dyDescent="0.3">
      <c r="B2" s="1" t="s">
        <v>93</v>
      </c>
    </row>
    <row r="3" spans="2:2" x14ac:dyDescent="0.2">
      <c r="B3" s="7" t="s">
        <v>94</v>
      </c>
    </row>
    <row r="4" spans="2:2" x14ac:dyDescent="0.2">
      <c r="B4" s="7" t="s">
        <v>92</v>
      </c>
    </row>
    <row r="5" spans="2:2" x14ac:dyDescent="0.2">
      <c r="B5" s="6"/>
    </row>
    <row r="6" spans="2:2" x14ac:dyDescent="0.2">
      <c r="B6" s="7" t="s">
        <v>95</v>
      </c>
    </row>
    <row r="7" spans="2:2" x14ac:dyDescent="0.2">
      <c r="B7" s="7" t="s">
        <v>96</v>
      </c>
    </row>
    <row r="8" spans="2:2" x14ac:dyDescent="0.2">
      <c r="B8" s="7" t="s">
        <v>97</v>
      </c>
    </row>
    <row r="9" spans="2:2" x14ac:dyDescent="0.2">
      <c r="B9" s="7" t="s">
        <v>98</v>
      </c>
    </row>
    <row r="10" spans="2:2" x14ac:dyDescent="0.2">
      <c r="B10" s="7" t="s">
        <v>99</v>
      </c>
    </row>
    <row r="11" spans="2:2" x14ac:dyDescent="0.2">
      <c r="B11" s="7" t="s">
        <v>92</v>
      </c>
    </row>
    <row r="12" spans="2:2" x14ac:dyDescent="0.2">
      <c r="B12" s="6"/>
    </row>
    <row r="13" spans="2:2" x14ac:dyDescent="0.2">
      <c r="B13" s="7" t="s">
        <v>100</v>
      </c>
    </row>
    <row r="14" spans="2:2" x14ac:dyDescent="0.2">
      <c r="B14" s="7" t="s">
        <v>101</v>
      </c>
    </row>
    <row r="15" spans="2:2" x14ac:dyDescent="0.2">
      <c r="B15" s="7" t="s">
        <v>102</v>
      </c>
    </row>
    <row r="16" spans="2:2" x14ac:dyDescent="0.2">
      <c r="B16" s="7" t="s">
        <v>103</v>
      </c>
    </row>
    <row r="17" spans="2:3" x14ac:dyDescent="0.2">
      <c r="B17" s="7" t="s">
        <v>104</v>
      </c>
    </row>
    <row r="18" spans="2:3" x14ac:dyDescent="0.2">
      <c r="B18" s="7" t="s">
        <v>105</v>
      </c>
    </row>
    <row r="19" spans="2:3" x14ac:dyDescent="0.2">
      <c r="B19" s="7" t="s">
        <v>92</v>
      </c>
    </row>
    <row r="20" spans="2:3" x14ac:dyDescent="0.2">
      <c r="B20" s="6"/>
    </row>
    <row r="21" spans="2:3" x14ac:dyDescent="0.2">
      <c r="B21" s="7" t="s">
        <v>106</v>
      </c>
    </row>
    <row r="22" spans="2:3" x14ac:dyDescent="0.2">
      <c r="B22" s="7" t="s">
        <v>101</v>
      </c>
    </row>
    <row r="23" spans="2:3" x14ac:dyDescent="0.2">
      <c r="B23" s="7" t="s">
        <v>107</v>
      </c>
    </row>
    <row r="24" spans="2:3" x14ac:dyDescent="0.2">
      <c r="B24" s="7" t="s">
        <v>104</v>
      </c>
    </row>
    <row r="25" spans="2:3" x14ac:dyDescent="0.2">
      <c r="B25" s="7" t="s">
        <v>108</v>
      </c>
    </row>
    <row r="26" spans="2:3" x14ac:dyDescent="0.2">
      <c r="B26" s="7" t="s">
        <v>92</v>
      </c>
    </row>
    <row r="29" spans="2:3" ht="16" x14ac:dyDescent="0.2">
      <c r="B29" s="5" t="s">
        <v>109</v>
      </c>
    </row>
    <row r="30" spans="2:3" x14ac:dyDescent="0.2">
      <c r="B30" s="8" t="s">
        <v>110</v>
      </c>
      <c r="C30" s="10">
        <f>SUM(Datos_Ventas!$G$2:$G$397)</f>
        <v>53694490</v>
      </c>
    </row>
    <row r="31" spans="2:3" x14ac:dyDescent="0.2">
      <c r="B31" s="8" t="s">
        <v>111</v>
      </c>
      <c r="C31" s="10">
        <f>SUMPRODUCT(Datos_Ventas!$E$2:$E$397,SUMIF(Productos!$A$2:$A$11,Datos_Ventas!$D$2:$D$397,Productos!$D$2:$D$11))</f>
        <v>32984500</v>
      </c>
    </row>
    <row r="32" spans="2:3" x14ac:dyDescent="0.2">
      <c r="B32" s="8" t="s">
        <v>112</v>
      </c>
      <c r="C32" s="11">
        <f>C30-C31</f>
        <v>20709990</v>
      </c>
    </row>
    <row r="33" spans="2:3" x14ac:dyDescent="0.2">
      <c r="B33" s="8" t="s">
        <v>113</v>
      </c>
      <c r="C33" s="12">
        <f>C32/C30</f>
        <v>0.38570046945226594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4855-07A3-7449-9DBD-CCD5B266233C}">
  <dimension ref="A1:G39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7" width="16.6640625" customWidth="1"/>
  </cols>
  <sheetData>
    <row r="1" spans="1:7" x14ac:dyDescent="0.2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>
        <v>1</v>
      </c>
      <c r="B2" s="13">
        <v>46023</v>
      </c>
      <c r="C2" t="s">
        <v>32</v>
      </c>
      <c r="D2" t="s">
        <v>33</v>
      </c>
      <c r="E2">
        <v>21</v>
      </c>
      <c r="F2" s="14">
        <v>19090</v>
      </c>
      <c r="G2" s="14">
        <v>400890</v>
      </c>
    </row>
    <row r="3" spans="1:7" x14ac:dyDescent="0.2">
      <c r="A3">
        <v>2</v>
      </c>
      <c r="B3" s="13">
        <v>46023</v>
      </c>
      <c r="C3" t="s">
        <v>34</v>
      </c>
      <c r="D3" t="s">
        <v>35</v>
      </c>
      <c r="E3">
        <v>8</v>
      </c>
      <c r="F3" s="14">
        <v>2990</v>
      </c>
      <c r="G3" s="14">
        <v>23920</v>
      </c>
    </row>
    <row r="4" spans="1:7" x14ac:dyDescent="0.2">
      <c r="A4">
        <v>3</v>
      </c>
      <c r="B4" s="13">
        <v>46024</v>
      </c>
      <c r="C4" t="s">
        <v>36</v>
      </c>
      <c r="D4" t="s">
        <v>37</v>
      </c>
      <c r="E4">
        <v>22</v>
      </c>
      <c r="F4" s="14">
        <v>3850</v>
      </c>
      <c r="G4" s="14">
        <v>84700</v>
      </c>
    </row>
    <row r="5" spans="1:7" x14ac:dyDescent="0.2">
      <c r="A5">
        <v>4</v>
      </c>
      <c r="B5" s="13">
        <v>46024</v>
      </c>
      <c r="C5" t="s">
        <v>38</v>
      </c>
      <c r="D5" t="s">
        <v>35</v>
      </c>
      <c r="E5">
        <v>30</v>
      </c>
      <c r="F5" s="14">
        <v>2980</v>
      </c>
      <c r="G5" s="14">
        <v>89400</v>
      </c>
    </row>
    <row r="6" spans="1:7" x14ac:dyDescent="0.2">
      <c r="A6">
        <v>5</v>
      </c>
      <c r="B6" s="13">
        <v>46024</v>
      </c>
      <c r="C6" t="s">
        <v>36</v>
      </c>
      <c r="D6" t="s">
        <v>33</v>
      </c>
      <c r="E6">
        <v>13</v>
      </c>
      <c r="F6" s="14">
        <v>17890</v>
      </c>
      <c r="G6" s="14">
        <v>232570</v>
      </c>
    </row>
    <row r="7" spans="1:7" x14ac:dyDescent="0.2">
      <c r="A7">
        <v>6</v>
      </c>
      <c r="B7" s="13">
        <v>46024</v>
      </c>
      <c r="C7" t="s">
        <v>36</v>
      </c>
      <c r="D7" t="s">
        <v>35</v>
      </c>
      <c r="E7">
        <v>8</v>
      </c>
      <c r="F7" s="14">
        <v>3320</v>
      </c>
      <c r="G7" s="14">
        <v>26560</v>
      </c>
    </row>
    <row r="8" spans="1:7" x14ac:dyDescent="0.2">
      <c r="A8">
        <v>7</v>
      </c>
      <c r="B8" s="13">
        <v>46025</v>
      </c>
      <c r="C8" t="s">
        <v>34</v>
      </c>
      <c r="D8" t="s">
        <v>39</v>
      </c>
      <c r="E8">
        <v>11</v>
      </c>
      <c r="F8" s="14">
        <v>2860</v>
      </c>
      <c r="G8" s="14">
        <v>31460</v>
      </c>
    </row>
    <row r="9" spans="1:7" x14ac:dyDescent="0.2">
      <c r="A9">
        <v>8</v>
      </c>
      <c r="B9" s="13">
        <v>46025</v>
      </c>
      <c r="C9" t="s">
        <v>38</v>
      </c>
      <c r="D9" t="s">
        <v>40</v>
      </c>
      <c r="E9">
        <v>24</v>
      </c>
      <c r="F9" s="14">
        <v>5270</v>
      </c>
      <c r="G9" s="14">
        <v>126480</v>
      </c>
    </row>
    <row r="10" spans="1:7" x14ac:dyDescent="0.2">
      <c r="A10">
        <v>9</v>
      </c>
      <c r="B10" s="13">
        <v>46025</v>
      </c>
      <c r="C10" t="s">
        <v>41</v>
      </c>
      <c r="D10" t="s">
        <v>42</v>
      </c>
      <c r="E10">
        <v>6</v>
      </c>
      <c r="F10" s="14">
        <v>4200</v>
      </c>
      <c r="G10" s="14">
        <v>25200</v>
      </c>
    </row>
    <row r="11" spans="1:7" x14ac:dyDescent="0.2">
      <c r="A11">
        <v>10</v>
      </c>
      <c r="B11" s="13">
        <v>46026</v>
      </c>
      <c r="C11" t="s">
        <v>36</v>
      </c>
      <c r="D11" t="s">
        <v>43</v>
      </c>
      <c r="E11">
        <v>20</v>
      </c>
      <c r="F11" s="14">
        <v>5390</v>
      </c>
      <c r="G11" s="14">
        <v>107800</v>
      </c>
    </row>
    <row r="12" spans="1:7" x14ac:dyDescent="0.2">
      <c r="A12">
        <v>11</v>
      </c>
      <c r="B12" s="13">
        <v>46027</v>
      </c>
      <c r="C12" t="s">
        <v>36</v>
      </c>
      <c r="D12" t="s">
        <v>35</v>
      </c>
      <c r="E12">
        <v>20</v>
      </c>
      <c r="F12" s="14">
        <v>2960</v>
      </c>
      <c r="G12" s="14">
        <v>59200</v>
      </c>
    </row>
    <row r="13" spans="1:7" x14ac:dyDescent="0.2">
      <c r="A13">
        <v>12</v>
      </c>
      <c r="B13" s="13">
        <v>46027</v>
      </c>
      <c r="C13" t="s">
        <v>41</v>
      </c>
      <c r="D13" t="s">
        <v>40</v>
      </c>
      <c r="E13">
        <v>13</v>
      </c>
      <c r="F13" s="14">
        <v>5350</v>
      </c>
      <c r="G13" s="14">
        <v>69550</v>
      </c>
    </row>
    <row r="14" spans="1:7" x14ac:dyDescent="0.2">
      <c r="A14">
        <v>13</v>
      </c>
      <c r="B14" s="13">
        <v>46028</v>
      </c>
      <c r="C14" t="s">
        <v>36</v>
      </c>
      <c r="D14" t="s">
        <v>44</v>
      </c>
      <c r="E14">
        <v>36</v>
      </c>
      <c r="F14" s="14">
        <v>3730</v>
      </c>
      <c r="G14" s="14">
        <v>134280</v>
      </c>
    </row>
    <row r="15" spans="1:7" x14ac:dyDescent="0.2">
      <c r="A15">
        <v>14</v>
      </c>
      <c r="B15" s="13">
        <v>46029</v>
      </c>
      <c r="C15" t="s">
        <v>34</v>
      </c>
      <c r="D15" t="s">
        <v>37</v>
      </c>
      <c r="E15">
        <v>18</v>
      </c>
      <c r="F15" s="14">
        <v>3410</v>
      </c>
      <c r="G15" s="14">
        <v>61380</v>
      </c>
    </row>
    <row r="16" spans="1:7" x14ac:dyDescent="0.2">
      <c r="A16">
        <v>15</v>
      </c>
      <c r="B16" s="13">
        <v>46029</v>
      </c>
      <c r="C16" t="s">
        <v>32</v>
      </c>
      <c r="D16" t="s">
        <v>35</v>
      </c>
      <c r="E16">
        <v>16</v>
      </c>
      <c r="F16" s="14">
        <v>3190</v>
      </c>
      <c r="G16" s="14">
        <v>51040</v>
      </c>
    </row>
    <row r="17" spans="1:7" x14ac:dyDescent="0.2">
      <c r="A17">
        <v>16</v>
      </c>
      <c r="B17" s="13">
        <v>46029</v>
      </c>
      <c r="C17" t="s">
        <v>45</v>
      </c>
      <c r="D17" t="s">
        <v>39</v>
      </c>
      <c r="E17">
        <v>32</v>
      </c>
      <c r="F17" s="14">
        <v>2490</v>
      </c>
      <c r="G17" s="14">
        <v>79680</v>
      </c>
    </row>
    <row r="18" spans="1:7" x14ac:dyDescent="0.2">
      <c r="A18">
        <v>17</v>
      </c>
      <c r="B18" s="13">
        <v>46030</v>
      </c>
      <c r="C18" t="s">
        <v>46</v>
      </c>
      <c r="D18" t="s">
        <v>40</v>
      </c>
      <c r="E18">
        <v>32</v>
      </c>
      <c r="F18" s="14">
        <v>5730</v>
      </c>
      <c r="G18" s="14">
        <v>183360</v>
      </c>
    </row>
    <row r="19" spans="1:7" x14ac:dyDescent="0.2">
      <c r="A19">
        <v>19</v>
      </c>
      <c r="B19" s="13">
        <v>46031</v>
      </c>
      <c r="C19" t="s">
        <v>34</v>
      </c>
      <c r="D19" t="s">
        <v>43</v>
      </c>
      <c r="E19">
        <v>19</v>
      </c>
      <c r="F19" s="14">
        <v>4870</v>
      </c>
      <c r="G19" s="14">
        <v>92530</v>
      </c>
    </row>
    <row r="20" spans="1:7" x14ac:dyDescent="0.2">
      <c r="A20">
        <v>20</v>
      </c>
      <c r="B20" s="13">
        <v>46032</v>
      </c>
      <c r="C20" t="s">
        <v>45</v>
      </c>
      <c r="D20" t="s">
        <v>37</v>
      </c>
      <c r="E20">
        <v>18</v>
      </c>
      <c r="F20" s="14">
        <v>3370</v>
      </c>
      <c r="G20" s="14">
        <v>60660</v>
      </c>
    </row>
    <row r="21" spans="1:7" x14ac:dyDescent="0.2">
      <c r="A21">
        <v>21</v>
      </c>
      <c r="B21" s="13">
        <v>46032</v>
      </c>
      <c r="C21" t="s">
        <v>36</v>
      </c>
      <c r="D21" t="s">
        <v>44</v>
      </c>
      <c r="E21">
        <v>39</v>
      </c>
      <c r="F21" s="14">
        <v>3870</v>
      </c>
      <c r="G21" s="14">
        <v>150930</v>
      </c>
    </row>
    <row r="22" spans="1:7" x14ac:dyDescent="0.2">
      <c r="A22">
        <v>22</v>
      </c>
      <c r="B22" s="13">
        <v>46033</v>
      </c>
      <c r="C22" t="s">
        <v>47</v>
      </c>
      <c r="D22" t="s">
        <v>48</v>
      </c>
      <c r="E22">
        <v>30</v>
      </c>
      <c r="F22" s="14">
        <v>1930</v>
      </c>
      <c r="G22" s="14">
        <v>57900</v>
      </c>
    </row>
    <row r="23" spans="1:7" x14ac:dyDescent="0.2">
      <c r="A23">
        <v>23</v>
      </c>
      <c r="B23" s="13">
        <v>46033</v>
      </c>
      <c r="C23" t="s">
        <v>49</v>
      </c>
      <c r="D23" t="s">
        <v>42</v>
      </c>
      <c r="E23">
        <v>29</v>
      </c>
      <c r="F23" s="14">
        <v>4360</v>
      </c>
      <c r="G23" s="14">
        <v>126440</v>
      </c>
    </row>
    <row r="24" spans="1:7" x14ac:dyDescent="0.2">
      <c r="A24">
        <v>24</v>
      </c>
      <c r="B24" s="13">
        <v>46034</v>
      </c>
      <c r="C24" t="s">
        <v>36</v>
      </c>
      <c r="D24" t="s">
        <v>43</v>
      </c>
      <c r="E24">
        <v>10</v>
      </c>
      <c r="F24" s="14">
        <v>4880</v>
      </c>
      <c r="G24" s="14">
        <v>48800</v>
      </c>
    </row>
    <row r="25" spans="1:7" x14ac:dyDescent="0.2">
      <c r="A25">
        <v>25</v>
      </c>
      <c r="B25" s="13">
        <v>46035</v>
      </c>
      <c r="C25" t="s">
        <v>47</v>
      </c>
      <c r="D25" t="s">
        <v>37</v>
      </c>
      <c r="E25">
        <v>11</v>
      </c>
      <c r="F25" s="14">
        <v>3670</v>
      </c>
      <c r="G25" s="14">
        <v>40370</v>
      </c>
    </row>
    <row r="26" spans="1:7" x14ac:dyDescent="0.2">
      <c r="A26">
        <v>26</v>
      </c>
      <c r="B26" s="13">
        <v>46036</v>
      </c>
      <c r="C26" t="s">
        <v>38</v>
      </c>
      <c r="D26" t="s">
        <v>48</v>
      </c>
      <c r="E26">
        <v>20</v>
      </c>
      <c r="F26" s="14">
        <v>1680</v>
      </c>
      <c r="G26" s="14">
        <v>33600</v>
      </c>
    </row>
    <row r="27" spans="1:7" x14ac:dyDescent="0.2">
      <c r="A27">
        <v>27</v>
      </c>
      <c r="B27" s="13">
        <v>46037</v>
      </c>
      <c r="C27" t="s">
        <v>45</v>
      </c>
      <c r="D27" t="s">
        <v>33</v>
      </c>
      <c r="E27">
        <v>4</v>
      </c>
      <c r="F27" s="14">
        <v>20310</v>
      </c>
      <c r="G27" s="14">
        <v>81240</v>
      </c>
    </row>
    <row r="28" spans="1:7" x14ac:dyDescent="0.2">
      <c r="A28">
        <v>28</v>
      </c>
      <c r="B28" s="13">
        <v>46038</v>
      </c>
      <c r="C28" t="s">
        <v>49</v>
      </c>
      <c r="D28" t="s">
        <v>37</v>
      </c>
      <c r="E28">
        <v>4</v>
      </c>
      <c r="F28" s="14">
        <v>3800</v>
      </c>
      <c r="G28" s="14">
        <v>15200</v>
      </c>
    </row>
    <row r="29" spans="1:7" x14ac:dyDescent="0.2">
      <c r="A29">
        <v>29</v>
      </c>
      <c r="B29" s="13">
        <v>46038</v>
      </c>
      <c r="C29" t="s">
        <v>45</v>
      </c>
      <c r="D29" t="s">
        <v>35</v>
      </c>
      <c r="E29">
        <v>28</v>
      </c>
      <c r="F29" s="14">
        <v>2980</v>
      </c>
      <c r="G29" s="14">
        <v>83440</v>
      </c>
    </row>
    <row r="30" spans="1:7" x14ac:dyDescent="0.2">
      <c r="A30">
        <v>30</v>
      </c>
      <c r="B30" s="13">
        <v>46038</v>
      </c>
      <c r="C30" t="s">
        <v>45</v>
      </c>
      <c r="D30" t="s">
        <v>33</v>
      </c>
      <c r="E30">
        <v>40</v>
      </c>
      <c r="F30" s="14">
        <v>18610</v>
      </c>
      <c r="G30" s="14">
        <v>744400</v>
      </c>
    </row>
    <row r="31" spans="1:7" x14ac:dyDescent="0.2">
      <c r="A31">
        <v>31</v>
      </c>
      <c r="B31" s="13">
        <v>46039</v>
      </c>
      <c r="C31" t="s">
        <v>36</v>
      </c>
      <c r="D31" t="s">
        <v>44</v>
      </c>
      <c r="E31">
        <v>14</v>
      </c>
      <c r="F31" s="14">
        <v>3660</v>
      </c>
      <c r="G31" s="14">
        <v>51240</v>
      </c>
    </row>
    <row r="32" spans="1:7" x14ac:dyDescent="0.2">
      <c r="A32">
        <v>32</v>
      </c>
      <c r="B32" s="13">
        <v>46039</v>
      </c>
      <c r="C32" t="s">
        <v>46</v>
      </c>
      <c r="D32" t="s">
        <v>39</v>
      </c>
      <c r="E32">
        <v>13</v>
      </c>
      <c r="F32" s="14">
        <v>2500</v>
      </c>
      <c r="G32" s="14">
        <v>32500</v>
      </c>
    </row>
    <row r="33" spans="1:7" x14ac:dyDescent="0.2">
      <c r="A33">
        <v>33</v>
      </c>
      <c r="B33" s="13">
        <v>46039</v>
      </c>
      <c r="C33" t="s">
        <v>50</v>
      </c>
      <c r="D33" t="s">
        <v>44</v>
      </c>
      <c r="E33">
        <v>21</v>
      </c>
      <c r="F33" s="14">
        <v>4170</v>
      </c>
      <c r="G33" s="14">
        <v>87570</v>
      </c>
    </row>
    <row r="34" spans="1:7" x14ac:dyDescent="0.2">
      <c r="A34">
        <v>34</v>
      </c>
      <c r="B34" s="13">
        <v>46039</v>
      </c>
      <c r="C34" t="s">
        <v>38</v>
      </c>
      <c r="D34" t="s">
        <v>39</v>
      </c>
      <c r="E34">
        <v>7</v>
      </c>
      <c r="F34" s="14">
        <v>2900</v>
      </c>
      <c r="G34" s="14">
        <v>20300</v>
      </c>
    </row>
    <row r="35" spans="1:7" x14ac:dyDescent="0.2">
      <c r="A35">
        <v>35</v>
      </c>
      <c r="B35" s="13">
        <v>46040</v>
      </c>
      <c r="C35" t="s">
        <v>32</v>
      </c>
      <c r="D35" t="s">
        <v>43</v>
      </c>
      <c r="E35">
        <v>19</v>
      </c>
      <c r="F35" s="14">
        <v>4910</v>
      </c>
      <c r="G35" s="14">
        <v>93290</v>
      </c>
    </row>
    <row r="36" spans="1:7" x14ac:dyDescent="0.2">
      <c r="A36">
        <v>36</v>
      </c>
      <c r="B36" s="13">
        <v>46041</v>
      </c>
      <c r="C36" t="s">
        <v>49</v>
      </c>
      <c r="D36" t="s">
        <v>40</v>
      </c>
      <c r="E36">
        <v>20</v>
      </c>
      <c r="F36" s="14">
        <v>5230</v>
      </c>
      <c r="G36" s="14">
        <v>104600</v>
      </c>
    </row>
    <row r="37" spans="1:7" x14ac:dyDescent="0.2">
      <c r="A37">
        <v>37</v>
      </c>
      <c r="B37" s="13">
        <v>46041</v>
      </c>
      <c r="C37" t="s">
        <v>34</v>
      </c>
      <c r="D37" t="s">
        <v>51</v>
      </c>
      <c r="E37">
        <v>27</v>
      </c>
      <c r="F37" s="14">
        <v>15120</v>
      </c>
      <c r="G37" s="14">
        <v>408240</v>
      </c>
    </row>
    <row r="38" spans="1:7" x14ac:dyDescent="0.2">
      <c r="A38">
        <v>38</v>
      </c>
      <c r="B38" s="13">
        <v>46044</v>
      </c>
      <c r="C38" t="s">
        <v>34</v>
      </c>
      <c r="D38" t="s">
        <v>39</v>
      </c>
      <c r="E38">
        <v>36</v>
      </c>
      <c r="F38" s="14">
        <v>2880</v>
      </c>
      <c r="G38" s="14">
        <v>103680</v>
      </c>
    </row>
    <row r="39" spans="1:7" x14ac:dyDescent="0.2">
      <c r="A39">
        <v>39</v>
      </c>
      <c r="B39" s="13">
        <v>46045</v>
      </c>
      <c r="C39" t="s">
        <v>41</v>
      </c>
      <c r="D39" t="s">
        <v>37</v>
      </c>
      <c r="E39">
        <v>18</v>
      </c>
      <c r="F39" s="14">
        <v>3310</v>
      </c>
      <c r="G39" s="14">
        <v>59580</v>
      </c>
    </row>
    <row r="40" spans="1:7" x14ac:dyDescent="0.2">
      <c r="A40">
        <v>40</v>
      </c>
      <c r="B40" s="13">
        <v>46047</v>
      </c>
      <c r="C40" t="s">
        <v>38</v>
      </c>
      <c r="D40" t="s">
        <v>39</v>
      </c>
      <c r="E40">
        <v>18</v>
      </c>
      <c r="F40" s="14">
        <v>2830</v>
      </c>
      <c r="G40" s="14">
        <v>50940</v>
      </c>
    </row>
    <row r="41" spans="1:7" x14ac:dyDescent="0.2">
      <c r="A41">
        <v>41</v>
      </c>
      <c r="B41" s="13">
        <v>46047</v>
      </c>
      <c r="C41" t="s">
        <v>47</v>
      </c>
      <c r="D41" t="s">
        <v>37</v>
      </c>
      <c r="E41">
        <v>29</v>
      </c>
      <c r="F41" s="14">
        <v>3480</v>
      </c>
      <c r="G41" s="14">
        <v>100920</v>
      </c>
    </row>
    <row r="42" spans="1:7" x14ac:dyDescent="0.2">
      <c r="A42">
        <v>42</v>
      </c>
      <c r="B42" s="13">
        <v>46049</v>
      </c>
      <c r="C42" t="s">
        <v>45</v>
      </c>
      <c r="D42" t="s">
        <v>39</v>
      </c>
      <c r="E42">
        <v>12</v>
      </c>
      <c r="F42" s="14">
        <v>2780</v>
      </c>
      <c r="G42" s="14">
        <v>33360</v>
      </c>
    </row>
    <row r="43" spans="1:7" x14ac:dyDescent="0.2">
      <c r="A43">
        <v>43</v>
      </c>
      <c r="B43" s="13">
        <v>46051</v>
      </c>
      <c r="C43" t="s">
        <v>45</v>
      </c>
      <c r="D43" t="s">
        <v>51</v>
      </c>
      <c r="E43">
        <v>14</v>
      </c>
      <c r="F43" s="14">
        <v>14310</v>
      </c>
      <c r="G43" s="14">
        <v>200340</v>
      </c>
    </row>
    <row r="44" spans="1:7" x14ac:dyDescent="0.2">
      <c r="A44">
        <v>44</v>
      </c>
      <c r="B44" s="13">
        <v>46051</v>
      </c>
      <c r="C44" t="s">
        <v>49</v>
      </c>
      <c r="D44" t="s">
        <v>39</v>
      </c>
      <c r="E44">
        <v>25</v>
      </c>
      <c r="F44" s="14">
        <v>2770</v>
      </c>
      <c r="G44" s="14">
        <v>69250</v>
      </c>
    </row>
    <row r="45" spans="1:7" x14ac:dyDescent="0.2">
      <c r="A45">
        <v>45</v>
      </c>
      <c r="B45" s="13">
        <v>46052</v>
      </c>
      <c r="C45" t="s">
        <v>41</v>
      </c>
      <c r="D45" t="s">
        <v>44</v>
      </c>
      <c r="E45">
        <v>31</v>
      </c>
      <c r="F45" s="14">
        <v>3750</v>
      </c>
      <c r="G45" s="14">
        <v>116250</v>
      </c>
    </row>
    <row r="46" spans="1:7" x14ac:dyDescent="0.2">
      <c r="A46">
        <v>46</v>
      </c>
      <c r="B46" s="13">
        <v>46052</v>
      </c>
      <c r="C46" t="s">
        <v>41</v>
      </c>
      <c r="D46" t="s">
        <v>39</v>
      </c>
      <c r="E46">
        <v>19</v>
      </c>
      <c r="F46" s="14">
        <v>2610</v>
      </c>
      <c r="G46" s="14">
        <v>49590</v>
      </c>
    </row>
    <row r="47" spans="1:7" x14ac:dyDescent="0.2">
      <c r="A47">
        <v>47</v>
      </c>
      <c r="B47" s="13">
        <v>46054</v>
      </c>
      <c r="C47" t="s">
        <v>36</v>
      </c>
      <c r="D47" t="s">
        <v>37</v>
      </c>
      <c r="E47">
        <v>11</v>
      </c>
      <c r="F47" s="14">
        <v>3330</v>
      </c>
      <c r="G47" s="14">
        <v>36630</v>
      </c>
    </row>
    <row r="48" spans="1:7" x14ac:dyDescent="0.2">
      <c r="A48">
        <v>48</v>
      </c>
      <c r="B48" s="13">
        <v>46054</v>
      </c>
      <c r="C48" t="s">
        <v>41</v>
      </c>
      <c r="D48" t="s">
        <v>43</v>
      </c>
      <c r="E48">
        <v>26</v>
      </c>
      <c r="F48" s="14">
        <v>5070</v>
      </c>
      <c r="G48" s="14">
        <v>131820</v>
      </c>
    </row>
    <row r="49" spans="1:7" x14ac:dyDescent="0.2">
      <c r="A49">
        <v>49</v>
      </c>
      <c r="B49" s="13">
        <v>46054</v>
      </c>
      <c r="C49" t="s">
        <v>47</v>
      </c>
      <c r="D49" t="s">
        <v>39</v>
      </c>
      <c r="E49">
        <v>27</v>
      </c>
      <c r="F49" s="14">
        <v>2690</v>
      </c>
      <c r="G49" s="14">
        <v>72630</v>
      </c>
    </row>
    <row r="50" spans="1:7" x14ac:dyDescent="0.2">
      <c r="A50">
        <v>50</v>
      </c>
      <c r="B50" s="13">
        <v>46055</v>
      </c>
      <c r="C50" t="s">
        <v>45</v>
      </c>
      <c r="D50" t="s">
        <v>44</v>
      </c>
      <c r="E50">
        <v>28</v>
      </c>
      <c r="F50" s="14">
        <v>4190</v>
      </c>
      <c r="G50" s="14">
        <v>117320</v>
      </c>
    </row>
    <row r="51" spans="1:7" x14ac:dyDescent="0.2">
      <c r="A51">
        <v>51</v>
      </c>
      <c r="B51" s="13">
        <v>46055</v>
      </c>
      <c r="C51" t="s">
        <v>36</v>
      </c>
      <c r="D51" t="s">
        <v>44</v>
      </c>
      <c r="E51">
        <v>3</v>
      </c>
      <c r="F51" s="14">
        <v>3770</v>
      </c>
      <c r="G51" s="14">
        <v>11310</v>
      </c>
    </row>
    <row r="52" spans="1:7" x14ac:dyDescent="0.2">
      <c r="A52">
        <v>52</v>
      </c>
      <c r="B52" s="13">
        <v>46056</v>
      </c>
      <c r="C52" t="s">
        <v>50</v>
      </c>
      <c r="D52" t="s">
        <v>39</v>
      </c>
      <c r="E52">
        <v>7</v>
      </c>
      <c r="F52" s="14">
        <v>2710</v>
      </c>
      <c r="G52" s="14">
        <v>18970</v>
      </c>
    </row>
    <row r="53" spans="1:7" x14ac:dyDescent="0.2">
      <c r="A53">
        <v>53</v>
      </c>
      <c r="B53" s="13">
        <v>46057</v>
      </c>
      <c r="C53" t="s">
        <v>36</v>
      </c>
      <c r="D53" t="s">
        <v>37</v>
      </c>
      <c r="E53">
        <v>32</v>
      </c>
      <c r="F53" s="14">
        <v>3870</v>
      </c>
      <c r="G53" s="14">
        <v>123840</v>
      </c>
    </row>
    <row r="54" spans="1:7" x14ac:dyDescent="0.2">
      <c r="A54">
        <v>54</v>
      </c>
      <c r="B54" s="13">
        <v>46057</v>
      </c>
      <c r="C54" t="s">
        <v>41</v>
      </c>
      <c r="D54" t="s">
        <v>43</v>
      </c>
      <c r="E54">
        <v>31</v>
      </c>
      <c r="F54" s="14">
        <v>4970</v>
      </c>
      <c r="G54" s="14">
        <v>154070</v>
      </c>
    </row>
    <row r="55" spans="1:7" x14ac:dyDescent="0.2">
      <c r="A55">
        <v>55</v>
      </c>
      <c r="B55" s="13">
        <v>46058</v>
      </c>
      <c r="C55" t="s">
        <v>46</v>
      </c>
      <c r="D55" t="s">
        <v>51</v>
      </c>
      <c r="E55">
        <v>7</v>
      </c>
      <c r="F55" s="14">
        <v>15170</v>
      </c>
      <c r="G55" s="14">
        <v>106190</v>
      </c>
    </row>
    <row r="56" spans="1:7" x14ac:dyDescent="0.2">
      <c r="A56">
        <v>56</v>
      </c>
      <c r="B56" s="13">
        <v>46059</v>
      </c>
      <c r="C56" t="s">
        <v>36</v>
      </c>
      <c r="D56" t="s">
        <v>42</v>
      </c>
      <c r="E56">
        <v>2</v>
      </c>
      <c r="F56" s="14">
        <v>4130</v>
      </c>
      <c r="G56" s="14">
        <v>8260</v>
      </c>
    </row>
    <row r="57" spans="1:7" x14ac:dyDescent="0.2">
      <c r="A57">
        <v>57</v>
      </c>
      <c r="B57" s="13">
        <v>46060</v>
      </c>
      <c r="C57" t="s">
        <v>46</v>
      </c>
      <c r="D57" t="s">
        <v>42</v>
      </c>
      <c r="E57">
        <v>7</v>
      </c>
      <c r="F57" s="14">
        <v>4430</v>
      </c>
      <c r="G57" s="14">
        <v>31010</v>
      </c>
    </row>
    <row r="58" spans="1:7" x14ac:dyDescent="0.2">
      <c r="A58">
        <v>59</v>
      </c>
      <c r="B58" s="13">
        <v>46062</v>
      </c>
      <c r="C58" t="s">
        <v>46</v>
      </c>
      <c r="D58" t="s">
        <v>33</v>
      </c>
      <c r="E58">
        <v>27</v>
      </c>
      <c r="F58" s="14">
        <v>19700</v>
      </c>
      <c r="G58" s="14">
        <v>531900</v>
      </c>
    </row>
    <row r="59" spans="1:7" x14ac:dyDescent="0.2">
      <c r="A59">
        <v>60</v>
      </c>
      <c r="B59" s="13">
        <v>46062</v>
      </c>
      <c r="C59" t="s">
        <v>36</v>
      </c>
      <c r="D59" t="s">
        <v>51</v>
      </c>
      <c r="E59">
        <v>14</v>
      </c>
      <c r="F59" s="14">
        <v>14560</v>
      </c>
      <c r="G59" s="14">
        <v>203840</v>
      </c>
    </row>
    <row r="60" spans="1:7" x14ac:dyDescent="0.2">
      <c r="A60">
        <v>61</v>
      </c>
      <c r="B60" s="13">
        <v>46063</v>
      </c>
      <c r="C60" t="s">
        <v>41</v>
      </c>
      <c r="D60" t="s">
        <v>37</v>
      </c>
      <c r="E60">
        <v>24</v>
      </c>
      <c r="F60" s="14">
        <v>3700</v>
      </c>
      <c r="G60" s="14">
        <v>88800</v>
      </c>
    </row>
    <row r="61" spans="1:7" x14ac:dyDescent="0.2">
      <c r="A61">
        <v>62</v>
      </c>
      <c r="B61" s="13">
        <v>46063</v>
      </c>
      <c r="C61" t="s">
        <v>41</v>
      </c>
      <c r="D61" t="s">
        <v>35</v>
      </c>
      <c r="E61">
        <v>38</v>
      </c>
      <c r="F61" s="14">
        <v>3180</v>
      </c>
      <c r="G61" s="14">
        <v>120840</v>
      </c>
    </row>
    <row r="62" spans="1:7" x14ac:dyDescent="0.2">
      <c r="A62">
        <v>63</v>
      </c>
      <c r="B62" s="13">
        <v>46065</v>
      </c>
      <c r="C62" t="s">
        <v>34</v>
      </c>
      <c r="D62" t="s">
        <v>37</v>
      </c>
      <c r="E62">
        <v>35</v>
      </c>
      <c r="F62" s="14">
        <v>3580</v>
      </c>
      <c r="G62" s="14">
        <v>125300</v>
      </c>
    </row>
    <row r="63" spans="1:7" x14ac:dyDescent="0.2">
      <c r="A63">
        <v>64</v>
      </c>
      <c r="B63" s="13">
        <v>46065</v>
      </c>
      <c r="C63" t="s">
        <v>45</v>
      </c>
      <c r="D63" t="s">
        <v>35</v>
      </c>
      <c r="E63">
        <v>24</v>
      </c>
      <c r="F63" s="14">
        <v>3350</v>
      </c>
      <c r="G63" s="14">
        <v>80400</v>
      </c>
    </row>
    <row r="64" spans="1:7" x14ac:dyDescent="0.2">
      <c r="A64">
        <v>65</v>
      </c>
      <c r="B64" s="13">
        <v>46067</v>
      </c>
      <c r="C64" t="s">
        <v>50</v>
      </c>
      <c r="D64" t="s">
        <v>40</v>
      </c>
      <c r="E64">
        <v>38</v>
      </c>
      <c r="F64" s="14">
        <v>5920</v>
      </c>
      <c r="G64" s="14">
        <v>224960</v>
      </c>
    </row>
    <row r="65" spans="1:7" x14ac:dyDescent="0.2">
      <c r="A65">
        <v>66</v>
      </c>
      <c r="B65" s="13">
        <v>46067</v>
      </c>
      <c r="C65" t="s">
        <v>38</v>
      </c>
      <c r="D65" t="s">
        <v>33</v>
      </c>
      <c r="E65">
        <v>22</v>
      </c>
      <c r="F65" s="14">
        <v>17670</v>
      </c>
      <c r="G65" s="14">
        <v>388740</v>
      </c>
    </row>
    <row r="66" spans="1:7" x14ac:dyDescent="0.2">
      <c r="A66">
        <v>67</v>
      </c>
      <c r="B66" s="13">
        <v>46068</v>
      </c>
      <c r="C66" t="s">
        <v>46</v>
      </c>
      <c r="D66" t="s">
        <v>44</v>
      </c>
      <c r="E66">
        <v>6</v>
      </c>
      <c r="F66" s="14">
        <v>3980</v>
      </c>
      <c r="G66" s="14">
        <v>23880</v>
      </c>
    </row>
    <row r="67" spans="1:7" x14ac:dyDescent="0.2">
      <c r="A67">
        <v>68</v>
      </c>
      <c r="B67" s="13">
        <v>46068</v>
      </c>
      <c r="C67" t="s">
        <v>36</v>
      </c>
      <c r="D67" t="s">
        <v>42</v>
      </c>
      <c r="E67">
        <v>40</v>
      </c>
      <c r="F67" s="14">
        <v>4370</v>
      </c>
      <c r="G67" s="14">
        <v>174800</v>
      </c>
    </row>
    <row r="68" spans="1:7" x14ac:dyDescent="0.2">
      <c r="A68">
        <v>69</v>
      </c>
      <c r="B68" s="13">
        <v>46068</v>
      </c>
      <c r="C68" t="s">
        <v>46</v>
      </c>
      <c r="D68" t="s">
        <v>39</v>
      </c>
      <c r="E68">
        <v>26</v>
      </c>
      <c r="F68" s="14">
        <v>2480</v>
      </c>
      <c r="G68" s="14">
        <v>64480</v>
      </c>
    </row>
    <row r="69" spans="1:7" x14ac:dyDescent="0.2">
      <c r="A69">
        <v>70</v>
      </c>
      <c r="B69" s="13">
        <v>46069</v>
      </c>
      <c r="C69" t="s">
        <v>34</v>
      </c>
      <c r="D69" t="s">
        <v>44</v>
      </c>
      <c r="E69">
        <v>33</v>
      </c>
      <c r="F69" s="14">
        <v>3960</v>
      </c>
      <c r="G69" s="14">
        <v>130680</v>
      </c>
    </row>
    <row r="70" spans="1:7" x14ac:dyDescent="0.2">
      <c r="A70">
        <v>71</v>
      </c>
      <c r="B70" s="13">
        <v>46069</v>
      </c>
      <c r="C70" t="s">
        <v>50</v>
      </c>
      <c r="D70" t="s">
        <v>40</v>
      </c>
      <c r="E70">
        <v>32</v>
      </c>
      <c r="F70" s="14">
        <v>5590</v>
      </c>
      <c r="G70" s="14">
        <v>178880</v>
      </c>
    </row>
    <row r="71" spans="1:7" x14ac:dyDescent="0.2">
      <c r="A71">
        <v>72</v>
      </c>
      <c r="B71" s="13">
        <v>46069</v>
      </c>
      <c r="C71" t="s">
        <v>34</v>
      </c>
      <c r="D71" t="s">
        <v>37</v>
      </c>
      <c r="E71">
        <v>1</v>
      </c>
      <c r="F71" s="14">
        <v>3370</v>
      </c>
      <c r="G71" s="14">
        <v>3370</v>
      </c>
    </row>
    <row r="72" spans="1:7" x14ac:dyDescent="0.2">
      <c r="A72">
        <v>73</v>
      </c>
      <c r="B72" s="13">
        <v>46070</v>
      </c>
      <c r="C72" t="s">
        <v>45</v>
      </c>
      <c r="D72" t="s">
        <v>33</v>
      </c>
      <c r="E72">
        <v>30</v>
      </c>
      <c r="F72" s="14">
        <v>18300</v>
      </c>
      <c r="G72" s="14">
        <v>549000</v>
      </c>
    </row>
    <row r="73" spans="1:7" x14ac:dyDescent="0.2">
      <c r="A73">
        <v>74</v>
      </c>
      <c r="B73" s="13">
        <v>46070</v>
      </c>
      <c r="C73" t="s">
        <v>49</v>
      </c>
      <c r="D73" t="s">
        <v>40</v>
      </c>
      <c r="E73">
        <v>29</v>
      </c>
      <c r="F73" s="14">
        <v>5520</v>
      </c>
      <c r="G73" s="14">
        <v>160080</v>
      </c>
    </row>
    <row r="74" spans="1:7" x14ac:dyDescent="0.2">
      <c r="A74">
        <v>75</v>
      </c>
      <c r="B74" s="13">
        <v>46071</v>
      </c>
      <c r="C74" t="s">
        <v>50</v>
      </c>
      <c r="D74" t="s">
        <v>48</v>
      </c>
      <c r="E74">
        <v>39</v>
      </c>
      <c r="F74" s="14">
        <v>1810</v>
      </c>
      <c r="G74" s="14">
        <v>70590</v>
      </c>
    </row>
    <row r="75" spans="1:7" x14ac:dyDescent="0.2">
      <c r="A75">
        <v>76</v>
      </c>
      <c r="B75" s="13">
        <v>46071</v>
      </c>
      <c r="C75" t="s">
        <v>50</v>
      </c>
      <c r="D75" t="s">
        <v>40</v>
      </c>
      <c r="E75">
        <v>31</v>
      </c>
      <c r="F75" s="14">
        <v>5990</v>
      </c>
      <c r="G75" s="14">
        <v>185690</v>
      </c>
    </row>
    <row r="76" spans="1:7" x14ac:dyDescent="0.2">
      <c r="A76">
        <v>77</v>
      </c>
      <c r="B76" s="13">
        <v>46072</v>
      </c>
      <c r="C76" t="s">
        <v>47</v>
      </c>
      <c r="D76" t="s">
        <v>43</v>
      </c>
      <c r="E76">
        <v>3</v>
      </c>
      <c r="F76" s="14">
        <v>5350</v>
      </c>
      <c r="G76" s="14">
        <v>16050</v>
      </c>
    </row>
    <row r="77" spans="1:7" x14ac:dyDescent="0.2">
      <c r="A77">
        <v>78</v>
      </c>
      <c r="B77" s="13">
        <v>46072</v>
      </c>
      <c r="C77" t="s">
        <v>45</v>
      </c>
      <c r="D77" t="s">
        <v>44</v>
      </c>
      <c r="E77">
        <v>20</v>
      </c>
      <c r="F77" s="14">
        <v>3930</v>
      </c>
      <c r="G77" s="14">
        <v>78600</v>
      </c>
    </row>
    <row r="78" spans="1:7" x14ac:dyDescent="0.2">
      <c r="A78">
        <v>79</v>
      </c>
      <c r="B78" s="13">
        <v>46073</v>
      </c>
      <c r="C78" t="s">
        <v>46</v>
      </c>
      <c r="D78" t="s">
        <v>40</v>
      </c>
      <c r="E78">
        <v>13</v>
      </c>
      <c r="F78" s="14">
        <v>5560</v>
      </c>
      <c r="G78" s="14">
        <v>72280</v>
      </c>
    </row>
    <row r="79" spans="1:7" x14ac:dyDescent="0.2">
      <c r="A79">
        <v>80</v>
      </c>
      <c r="B79" s="13">
        <v>46075</v>
      </c>
      <c r="C79" t="s">
        <v>50</v>
      </c>
      <c r="D79" t="s">
        <v>33</v>
      </c>
      <c r="E79">
        <v>5</v>
      </c>
      <c r="F79" s="14">
        <v>17970</v>
      </c>
      <c r="G79" s="14">
        <v>89850</v>
      </c>
    </row>
    <row r="80" spans="1:7" x14ac:dyDescent="0.2">
      <c r="A80">
        <v>81</v>
      </c>
      <c r="B80" s="13">
        <v>46075</v>
      </c>
      <c r="C80" t="s">
        <v>36</v>
      </c>
      <c r="D80" t="s">
        <v>39</v>
      </c>
      <c r="E80">
        <v>9</v>
      </c>
      <c r="F80" s="14">
        <v>2590</v>
      </c>
      <c r="G80" s="14">
        <v>23310</v>
      </c>
    </row>
    <row r="81" spans="1:7" x14ac:dyDescent="0.2">
      <c r="A81">
        <v>82</v>
      </c>
      <c r="B81" s="13">
        <v>46078</v>
      </c>
      <c r="C81" t="s">
        <v>49</v>
      </c>
      <c r="D81" t="s">
        <v>39</v>
      </c>
      <c r="E81">
        <v>1</v>
      </c>
      <c r="F81" s="14">
        <v>2660</v>
      </c>
      <c r="G81" s="14">
        <v>2660</v>
      </c>
    </row>
    <row r="82" spans="1:7" x14ac:dyDescent="0.2">
      <c r="A82">
        <v>83</v>
      </c>
      <c r="B82" s="13">
        <v>46078</v>
      </c>
      <c r="C82" t="s">
        <v>32</v>
      </c>
      <c r="D82" t="s">
        <v>33</v>
      </c>
      <c r="E82">
        <v>18</v>
      </c>
      <c r="F82" s="14">
        <v>17560</v>
      </c>
      <c r="G82" s="14">
        <v>316080</v>
      </c>
    </row>
    <row r="83" spans="1:7" x14ac:dyDescent="0.2">
      <c r="A83">
        <v>84</v>
      </c>
      <c r="B83" s="13">
        <v>46078</v>
      </c>
      <c r="C83" t="s">
        <v>49</v>
      </c>
      <c r="D83" t="s">
        <v>44</v>
      </c>
      <c r="E83">
        <v>16</v>
      </c>
      <c r="F83" s="14">
        <v>4140</v>
      </c>
      <c r="G83" s="14">
        <v>66240</v>
      </c>
    </row>
    <row r="84" spans="1:7" x14ac:dyDescent="0.2">
      <c r="A84">
        <v>85</v>
      </c>
      <c r="B84" s="13">
        <v>46078</v>
      </c>
      <c r="C84" t="s">
        <v>49</v>
      </c>
      <c r="D84" t="s">
        <v>44</v>
      </c>
      <c r="E84">
        <v>24</v>
      </c>
      <c r="F84" s="14">
        <v>4170</v>
      </c>
      <c r="G84" s="14">
        <v>100080</v>
      </c>
    </row>
    <row r="85" spans="1:7" x14ac:dyDescent="0.2">
      <c r="A85">
        <v>86</v>
      </c>
      <c r="B85" s="13">
        <v>46078</v>
      </c>
      <c r="C85" t="s">
        <v>41</v>
      </c>
      <c r="D85" t="s">
        <v>51</v>
      </c>
      <c r="E85">
        <v>5</v>
      </c>
      <c r="F85" s="14">
        <v>15470</v>
      </c>
      <c r="G85" s="14">
        <v>77350</v>
      </c>
    </row>
    <row r="86" spans="1:7" x14ac:dyDescent="0.2">
      <c r="A86">
        <v>87</v>
      </c>
      <c r="B86" s="13">
        <v>46081</v>
      </c>
      <c r="C86" t="s">
        <v>41</v>
      </c>
      <c r="D86" t="s">
        <v>48</v>
      </c>
      <c r="E86">
        <v>7</v>
      </c>
      <c r="F86" s="14">
        <v>1680</v>
      </c>
      <c r="G86" s="14">
        <v>11760</v>
      </c>
    </row>
    <row r="87" spans="1:7" x14ac:dyDescent="0.2">
      <c r="A87">
        <v>88</v>
      </c>
      <c r="B87" s="13">
        <v>46081</v>
      </c>
      <c r="C87" t="s">
        <v>47</v>
      </c>
      <c r="D87" t="s">
        <v>48</v>
      </c>
      <c r="E87">
        <v>26</v>
      </c>
      <c r="F87" s="14">
        <v>1860</v>
      </c>
      <c r="G87" s="14">
        <v>48360</v>
      </c>
    </row>
    <row r="88" spans="1:7" x14ac:dyDescent="0.2">
      <c r="A88">
        <v>89</v>
      </c>
      <c r="B88" s="13">
        <v>46083</v>
      </c>
      <c r="C88" t="s">
        <v>32</v>
      </c>
      <c r="D88" t="s">
        <v>40</v>
      </c>
      <c r="E88">
        <v>9</v>
      </c>
      <c r="F88" s="14">
        <v>5160</v>
      </c>
      <c r="G88" s="14">
        <v>46440</v>
      </c>
    </row>
    <row r="89" spans="1:7" x14ac:dyDescent="0.2">
      <c r="A89">
        <v>90</v>
      </c>
      <c r="B89" s="13">
        <v>46085</v>
      </c>
      <c r="C89" t="s">
        <v>41</v>
      </c>
      <c r="D89" t="s">
        <v>43</v>
      </c>
      <c r="E89">
        <v>16</v>
      </c>
      <c r="F89" s="14">
        <v>5020</v>
      </c>
      <c r="G89" s="14">
        <v>80320</v>
      </c>
    </row>
    <row r="90" spans="1:7" x14ac:dyDescent="0.2">
      <c r="A90">
        <v>91</v>
      </c>
      <c r="B90" s="13">
        <v>46085</v>
      </c>
      <c r="C90" t="s">
        <v>34</v>
      </c>
      <c r="D90" t="s">
        <v>51</v>
      </c>
      <c r="E90">
        <v>22</v>
      </c>
      <c r="F90" s="14">
        <v>14680</v>
      </c>
      <c r="G90" s="14">
        <v>322960</v>
      </c>
    </row>
    <row r="91" spans="1:7" x14ac:dyDescent="0.2">
      <c r="A91">
        <v>93</v>
      </c>
      <c r="B91" s="13">
        <v>46086</v>
      </c>
      <c r="C91" t="s">
        <v>50</v>
      </c>
      <c r="D91" t="s">
        <v>40</v>
      </c>
      <c r="E91">
        <v>34</v>
      </c>
      <c r="F91" s="14">
        <v>5390</v>
      </c>
      <c r="G91" s="14">
        <v>183260</v>
      </c>
    </row>
    <row r="92" spans="1:7" x14ac:dyDescent="0.2">
      <c r="A92">
        <v>94</v>
      </c>
      <c r="B92" s="13">
        <v>46086</v>
      </c>
      <c r="C92" t="s">
        <v>49</v>
      </c>
      <c r="D92" t="s">
        <v>33</v>
      </c>
      <c r="E92">
        <v>6</v>
      </c>
      <c r="F92" s="14">
        <v>17510</v>
      </c>
      <c r="G92" s="14">
        <v>105060</v>
      </c>
    </row>
    <row r="93" spans="1:7" x14ac:dyDescent="0.2">
      <c r="A93">
        <v>95</v>
      </c>
      <c r="B93" s="13">
        <v>46087</v>
      </c>
      <c r="C93" t="s">
        <v>47</v>
      </c>
      <c r="D93" t="s">
        <v>42</v>
      </c>
      <c r="E93">
        <v>35</v>
      </c>
      <c r="F93" s="14">
        <v>4540</v>
      </c>
      <c r="G93" s="14">
        <v>158900</v>
      </c>
    </row>
    <row r="94" spans="1:7" x14ac:dyDescent="0.2">
      <c r="A94">
        <v>96</v>
      </c>
      <c r="B94" s="13">
        <v>46089</v>
      </c>
      <c r="C94" t="s">
        <v>32</v>
      </c>
      <c r="D94" t="s">
        <v>37</v>
      </c>
      <c r="E94">
        <v>37</v>
      </c>
      <c r="F94" s="14">
        <v>3680</v>
      </c>
      <c r="G94" s="14">
        <v>136160</v>
      </c>
    </row>
    <row r="95" spans="1:7" x14ac:dyDescent="0.2">
      <c r="A95">
        <v>97</v>
      </c>
      <c r="B95" s="13">
        <v>46090</v>
      </c>
      <c r="C95" t="s">
        <v>32</v>
      </c>
      <c r="D95" t="s">
        <v>33</v>
      </c>
      <c r="E95">
        <v>11</v>
      </c>
      <c r="F95" s="14">
        <v>18700</v>
      </c>
      <c r="G95" s="14">
        <v>205700</v>
      </c>
    </row>
    <row r="96" spans="1:7" x14ac:dyDescent="0.2">
      <c r="A96">
        <v>98</v>
      </c>
      <c r="B96" s="13">
        <v>46090</v>
      </c>
      <c r="C96" t="s">
        <v>45</v>
      </c>
      <c r="D96" t="s">
        <v>51</v>
      </c>
      <c r="E96">
        <v>17</v>
      </c>
      <c r="F96" s="14">
        <v>14620</v>
      </c>
      <c r="G96" s="14">
        <v>248540</v>
      </c>
    </row>
    <row r="97" spans="1:7" x14ac:dyDescent="0.2">
      <c r="A97">
        <v>99</v>
      </c>
      <c r="B97" s="13">
        <v>46090</v>
      </c>
      <c r="C97" t="s">
        <v>41</v>
      </c>
      <c r="D97" t="s">
        <v>51</v>
      </c>
      <c r="E97">
        <v>29</v>
      </c>
      <c r="F97" s="14">
        <v>13670</v>
      </c>
      <c r="G97" s="14">
        <v>396430</v>
      </c>
    </row>
    <row r="98" spans="1:7" x14ac:dyDescent="0.2">
      <c r="A98">
        <v>100</v>
      </c>
      <c r="B98" s="13">
        <v>46090</v>
      </c>
      <c r="C98" t="s">
        <v>50</v>
      </c>
      <c r="D98" t="s">
        <v>44</v>
      </c>
      <c r="E98">
        <v>14</v>
      </c>
      <c r="F98" s="14">
        <v>3680</v>
      </c>
      <c r="G98" s="14">
        <v>51520</v>
      </c>
    </row>
    <row r="99" spans="1:7" x14ac:dyDescent="0.2">
      <c r="A99">
        <v>101</v>
      </c>
      <c r="B99" s="13">
        <v>46091</v>
      </c>
      <c r="C99" t="s">
        <v>32</v>
      </c>
      <c r="D99" t="s">
        <v>35</v>
      </c>
      <c r="E99">
        <v>13</v>
      </c>
      <c r="F99" s="14">
        <v>3110</v>
      </c>
      <c r="G99" s="14">
        <v>40430</v>
      </c>
    </row>
    <row r="100" spans="1:7" x14ac:dyDescent="0.2">
      <c r="A100">
        <v>102</v>
      </c>
      <c r="B100" s="13">
        <v>46092</v>
      </c>
      <c r="C100" t="s">
        <v>32</v>
      </c>
      <c r="D100" t="s">
        <v>51</v>
      </c>
      <c r="E100">
        <v>31</v>
      </c>
      <c r="F100" s="14">
        <v>14570</v>
      </c>
      <c r="G100" s="14">
        <v>451670</v>
      </c>
    </row>
    <row r="101" spans="1:7" x14ac:dyDescent="0.2">
      <c r="A101">
        <v>103</v>
      </c>
      <c r="B101" s="13">
        <v>46093</v>
      </c>
      <c r="C101" t="s">
        <v>34</v>
      </c>
      <c r="D101" t="s">
        <v>35</v>
      </c>
      <c r="E101">
        <v>8</v>
      </c>
      <c r="F101" s="14">
        <v>3250</v>
      </c>
      <c r="G101" s="14">
        <v>26000</v>
      </c>
    </row>
    <row r="102" spans="1:7" x14ac:dyDescent="0.2">
      <c r="A102">
        <v>104</v>
      </c>
      <c r="B102" s="13">
        <v>46094</v>
      </c>
      <c r="C102" t="s">
        <v>36</v>
      </c>
      <c r="D102" t="s">
        <v>35</v>
      </c>
      <c r="E102">
        <v>33</v>
      </c>
      <c r="F102" s="14">
        <v>3170</v>
      </c>
      <c r="G102" s="14">
        <v>104610</v>
      </c>
    </row>
    <row r="103" spans="1:7" x14ac:dyDescent="0.2">
      <c r="A103">
        <v>105</v>
      </c>
      <c r="B103" s="13">
        <v>46094</v>
      </c>
      <c r="C103" t="s">
        <v>38</v>
      </c>
      <c r="D103" t="s">
        <v>51</v>
      </c>
      <c r="E103">
        <v>5</v>
      </c>
      <c r="F103" s="14">
        <v>15290</v>
      </c>
      <c r="G103" s="14">
        <v>76450</v>
      </c>
    </row>
    <row r="104" spans="1:7" x14ac:dyDescent="0.2">
      <c r="A104">
        <v>106</v>
      </c>
      <c r="B104" s="13">
        <v>46094</v>
      </c>
      <c r="C104" t="s">
        <v>46</v>
      </c>
      <c r="D104" t="s">
        <v>44</v>
      </c>
      <c r="E104">
        <v>36</v>
      </c>
      <c r="F104" s="14">
        <v>4120</v>
      </c>
      <c r="G104" s="14">
        <v>148320</v>
      </c>
    </row>
    <row r="105" spans="1:7" x14ac:dyDescent="0.2">
      <c r="A105">
        <v>107</v>
      </c>
      <c r="B105" s="13">
        <v>46095</v>
      </c>
      <c r="C105" t="s">
        <v>50</v>
      </c>
      <c r="D105" t="s">
        <v>40</v>
      </c>
      <c r="E105">
        <v>25</v>
      </c>
      <c r="F105" s="14">
        <v>5530</v>
      </c>
      <c r="G105" s="14">
        <v>138250</v>
      </c>
    </row>
    <row r="106" spans="1:7" x14ac:dyDescent="0.2">
      <c r="A106">
        <v>109</v>
      </c>
      <c r="B106" s="13">
        <v>46096</v>
      </c>
      <c r="C106" t="s">
        <v>36</v>
      </c>
      <c r="D106" t="s">
        <v>37</v>
      </c>
      <c r="E106">
        <v>28</v>
      </c>
      <c r="F106" s="14">
        <v>3380</v>
      </c>
      <c r="G106" s="14">
        <v>94640</v>
      </c>
    </row>
    <row r="107" spans="1:7" x14ac:dyDescent="0.2">
      <c r="A107">
        <v>110</v>
      </c>
      <c r="B107" s="13">
        <v>46096</v>
      </c>
      <c r="C107" t="s">
        <v>34</v>
      </c>
      <c r="D107" t="s">
        <v>43</v>
      </c>
      <c r="E107">
        <v>25</v>
      </c>
      <c r="F107" s="14">
        <v>4810</v>
      </c>
      <c r="G107" s="14">
        <v>120250</v>
      </c>
    </row>
    <row r="108" spans="1:7" x14ac:dyDescent="0.2">
      <c r="A108">
        <v>111</v>
      </c>
      <c r="B108" s="13">
        <v>46096</v>
      </c>
      <c r="C108" t="s">
        <v>50</v>
      </c>
      <c r="D108" t="s">
        <v>44</v>
      </c>
      <c r="E108">
        <v>17</v>
      </c>
      <c r="F108" s="14">
        <v>4090</v>
      </c>
      <c r="G108" s="14">
        <v>69530</v>
      </c>
    </row>
    <row r="109" spans="1:7" x14ac:dyDescent="0.2">
      <c r="A109">
        <v>112</v>
      </c>
      <c r="B109" s="13">
        <v>46096</v>
      </c>
      <c r="C109" t="s">
        <v>47</v>
      </c>
      <c r="D109" t="s">
        <v>35</v>
      </c>
      <c r="E109">
        <v>1</v>
      </c>
      <c r="F109" s="14">
        <v>3220</v>
      </c>
      <c r="G109" s="14">
        <v>3220</v>
      </c>
    </row>
    <row r="110" spans="1:7" x14ac:dyDescent="0.2">
      <c r="A110">
        <v>113</v>
      </c>
      <c r="B110" s="13">
        <v>46098</v>
      </c>
      <c r="C110" t="s">
        <v>50</v>
      </c>
      <c r="D110" t="s">
        <v>42</v>
      </c>
      <c r="E110">
        <v>35</v>
      </c>
      <c r="F110" s="14">
        <v>4110</v>
      </c>
      <c r="G110" s="14">
        <v>143850</v>
      </c>
    </row>
    <row r="111" spans="1:7" x14ac:dyDescent="0.2">
      <c r="A111">
        <v>114</v>
      </c>
      <c r="B111" s="13">
        <v>46098</v>
      </c>
      <c r="C111" t="s">
        <v>38</v>
      </c>
      <c r="D111" t="s">
        <v>37</v>
      </c>
      <c r="E111">
        <v>35</v>
      </c>
      <c r="F111" s="14">
        <v>3860</v>
      </c>
      <c r="G111" s="14">
        <v>135100</v>
      </c>
    </row>
    <row r="112" spans="1:7" x14ac:dyDescent="0.2">
      <c r="A112">
        <v>115</v>
      </c>
      <c r="B112" s="13">
        <v>46098</v>
      </c>
      <c r="C112" t="s">
        <v>32</v>
      </c>
      <c r="D112" t="s">
        <v>44</v>
      </c>
      <c r="E112">
        <v>38</v>
      </c>
      <c r="F112" s="14">
        <v>3600</v>
      </c>
      <c r="G112" s="14">
        <v>136800</v>
      </c>
    </row>
    <row r="113" spans="1:7" x14ac:dyDescent="0.2">
      <c r="A113">
        <v>116</v>
      </c>
      <c r="B113" s="13">
        <v>46098</v>
      </c>
      <c r="C113" t="s">
        <v>32</v>
      </c>
      <c r="D113" t="s">
        <v>51</v>
      </c>
      <c r="E113">
        <v>30</v>
      </c>
      <c r="F113" s="14">
        <v>13370</v>
      </c>
      <c r="G113" s="14">
        <v>401100</v>
      </c>
    </row>
    <row r="114" spans="1:7" x14ac:dyDescent="0.2">
      <c r="A114">
        <v>117</v>
      </c>
      <c r="B114" s="13">
        <v>46098</v>
      </c>
      <c r="C114" t="s">
        <v>32</v>
      </c>
      <c r="D114" t="s">
        <v>51</v>
      </c>
      <c r="E114">
        <v>18</v>
      </c>
      <c r="F114" s="14">
        <v>14390</v>
      </c>
      <c r="G114" s="14">
        <v>259020</v>
      </c>
    </row>
    <row r="115" spans="1:7" x14ac:dyDescent="0.2">
      <c r="A115">
        <v>118</v>
      </c>
      <c r="B115" s="13">
        <v>46099</v>
      </c>
      <c r="C115" t="s">
        <v>45</v>
      </c>
      <c r="D115" t="s">
        <v>37</v>
      </c>
      <c r="E115">
        <v>19</v>
      </c>
      <c r="F115" s="14">
        <v>3390</v>
      </c>
      <c r="G115" s="14">
        <v>64410</v>
      </c>
    </row>
    <row r="116" spans="1:7" x14ac:dyDescent="0.2">
      <c r="A116">
        <v>119</v>
      </c>
      <c r="B116" s="13">
        <v>46099</v>
      </c>
      <c r="C116" t="s">
        <v>34</v>
      </c>
      <c r="D116" t="s">
        <v>44</v>
      </c>
      <c r="E116">
        <v>16</v>
      </c>
      <c r="F116" s="14">
        <v>4010</v>
      </c>
      <c r="G116" s="14">
        <v>64160</v>
      </c>
    </row>
    <row r="117" spans="1:7" x14ac:dyDescent="0.2">
      <c r="A117">
        <v>120</v>
      </c>
      <c r="B117" s="13">
        <v>46100</v>
      </c>
      <c r="C117" t="s">
        <v>50</v>
      </c>
      <c r="D117" t="s">
        <v>40</v>
      </c>
      <c r="E117">
        <v>7</v>
      </c>
      <c r="F117" s="14">
        <v>5660</v>
      </c>
      <c r="G117" s="14">
        <v>39620</v>
      </c>
    </row>
    <row r="118" spans="1:7" x14ac:dyDescent="0.2">
      <c r="A118">
        <v>121</v>
      </c>
      <c r="B118" s="13">
        <v>46102</v>
      </c>
      <c r="C118" t="s">
        <v>46</v>
      </c>
      <c r="D118" t="s">
        <v>33</v>
      </c>
      <c r="E118">
        <v>24</v>
      </c>
      <c r="F118" s="14">
        <v>20010</v>
      </c>
      <c r="G118" s="14">
        <v>480240</v>
      </c>
    </row>
    <row r="119" spans="1:7" x14ac:dyDescent="0.2">
      <c r="A119">
        <v>122</v>
      </c>
      <c r="B119" s="13">
        <v>46102</v>
      </c>
      <c r="C119" t="s">
        <v>32</v>
      </c>
      <c r="D119" t="s">
        <v>40</v>
      </c>
      <c r="E119">
        <v>34</v>
      </c>
      <c r="F119" s="14">
        <v>5550</v>
      </c>
      <c r="G119" s="14">
        <v>188700</v>
      </c>
    </row>
    <row r="120" spans="1:7" x14ac:dyDescent="0.2">
      <c r="A120">
        <v>123</v>
      </c>
      <c r="B120" s="13">
        <v>46104</v>
      </c>
      <c r="C120" t="s">
        <v>32</v>
      </c>
      <c r="D120" t="s">
        <v>48</v>
      </c>
      <c r="E120">
        <v>28</v>
      </c>
      <c r="F120" s="14">
        <v>1900</v>
      </c>
      <c r="G120" s="14">
        <v>53200</v>
      </c>
    </row>
    <row r="121" spans="1:7" x14ac:dyDescent="0.2">
      <c r="A121">
        <v>124</v>
      </c>
      <c r="B121" s="13">
        <v>46104</v>
      </c>
      <c r="C121" t="s">
        <v>47</v>
      </c>
      <c r="D121" t="s">
        <v>37</v>
      </c>
      <c r="E121">
        <v>18</v>
      </c>
      <c r="F121" s="14">
        <v>3790</v>
      </c>
      <c r="G121" s="14">
        <v>68220</v>
      </c>
    </row>
    <row r="122" spans="1:7" x14ac:dyDescent="0.2">
      <c r="A122">
        <v>125</v>
      </c>
      <c r="B122" s="13">
        <v>46105</v>
      </c>
      <c r="C122" t="s">
        <v>38</v>
      </c>
      <c r="D122" t="s">
        <v>40</v>
      </c>
      <c r="E122">
        <v>14</v>
      </c>
      <c r="F122" s="14">
        <v>5190</v>
      </c>
      <c r="G122" s="14">
        <v>72660</v>
      </c>
    </row>
    <row r="123" spans="1:7" x14ac:dyDescent="0.2">
      <c r="A123">
        <v>126</v>
      </c>
      <c r="B123" s="13">
        <v>46105</v>
      </c>
      <c r="C123" t="s">
        <v>47</v>
      </c>
      <c r="D123" t="s">
        <v>39</v>
      </c>
      <c r="E123">
        <v>3</v>
      </c>
      <c r="F123" s="14">
        <v>2690</v>
      </c>
      <c r="G123" s="14">
        <v>8070</v>
      </c>
    </row>
    <row r="124" spans="1:7" x14ac:dyDescent="0.2">
      <c r="A124">
        <v>128</v>
      </c>
      <c r="B124" s="13">
        <v>46105</v>
      </c>
      <c r="C124" t="s">
        <v>50</v>
      </c>
      <c r="D124" t="s">
        <v>33</v>
      </c>
      <c r="E124">
        <v>39</v>
      </c>
      <c r="F124" s="14">
        <v>18690</v>
      </c>
      <c r="G124" s="14">
        <v>728910</v>
      </c>
    </row>
    <row r="125" spans="1:7" x14ac:dyDescent="0.2">
      <c r="A125">
        <v>129</v>
      </c>
      <c r="B125" s="13">
        <v>46105</v>
      </c>
      <c r="C125" t="s">
        <v>47</v>
      </c>
      <c r="D125" t="s">
        <v>37</v>
      </c>
      <c r="E125">
        <v>18</v>
      </c>
      <c r="F125" s="14">
        <v>3350</v>
      </c>
      <c r="G125" s="14">
        <v>60300</v>
      </c>
    </row>
    <row r="126" spans="1:7" x14ac:dyDescent="0.2">
      <c r="A126">
        <v>130</v>
      </c>
      <c r="B126" s="13">
        <v>46106</v>
      </c>
      <c r="C126" t="s">
        <v>45</v>
      </c>
      <c r="D126" t="s">
        <v>39</v>
      </c>
      <c r="E126">
        <v>2</v>
      </c>
      <c r="F126" s="14">
        <v>2730</v>
      </c>
      <c r="G126" s="14">
        <v>5460</v>
      </c>
    </row>
    <row r="127" spans="1:7" x14ac:dyDescent="0.2">
      <c r="A127">
        <v>131</v>
      </c>
      <c r="B127" s="13">
        <v>46106</v>
      </c>
      <c r="C127" t="s">
        <v>38</v>
      </c>
      <c r="D127" t="s">
        <v>42</v>
      </c>
      <c r="E127">
        <v>34</v>
      </c>
      <c r="F127" s="14">
        <v>4470</v>
      </c>
      <c r="G127" s="14">
        <v>151980</v>
      </c>
    </row>
    <row r="128" spans="1:7" x14ac:dyDescent="0.2">
      <c r="A128">
        <v>132</v>
      </c>
      <c r="B128" s="13">
        <v>46106</v>
      </c>
      <c r="C128" t="s">
        <v>36</v>
      </c>
      <c r="D128" t="s">
        <v>33</v>
      </c>
      <c r="E128">
        <v>20</v>
      </c>
      <c r="F128" s="14">
        <v>19140</v>
      </c>
      <c r="G128" s="14">
        <v>382800</v>
      </c>
    </row>
    <row r="129" spans="1:7" x14ac:dyDescent="0.2">
      <c r="A129">
        <v>133</v>
      </c>
      <c r="B129" s="13">
        <v>46106</v>
      </c>
      <c r="C129" t="s">
        <v>32</v>
      </c>
      <c r="D129" t="s">
        <v>39</v>
      </c>
      <c r="E129">
        <v>37</v>
      </c>
      <c r="F129" s="14">
        <v>2740</v>
      </c>
      <c r="G129" s="14">
        <v>101380</v>
      </c>
    </row>
    <row r="130" spans="1:7" x14ac:dyDescent="0.2">
      <c r="A130">
        <v>134</v>
      </c>
      <c r="B130" s="13">
        <v>46106</v>
      </c>
      <c r="C130" t="s">
        <v>36</v>
      </c>
      <c r="D130" t="s">
        <v>48</v>
      </c>
      <c r="E130">
        <v>32</v>
      </c>
      <c r="F130" s="14">
        <v>1900</v>
      </c>
      <c r="G130" s="14">
        <v>60800</v>
      </c>
    </row>
    <row r="131" spans="1:7" x14ac:dyDescent="0.2">
      <c r="A131">
        <v>135</v>
      </c>
      <c r="B131" s="13">
        <v>46108</v>
      </c>
      <c r="C131" t="s">
        <v>50</v>
      </c>
      <c r="D131" t="s">
        <v>35</v>
      </c>
      <c r="E131">
        <v>20</v>
      </c>
      <c r="F131" s="14">
        <v>3340</v>
      </c>
      <c r="G131" s="14">
        <v>66800</v>
      </c>
    </row>
    <row r="132" spans="1:7" x14ac:dyDescent="0.2">
      <c r="A132">
        <v>136</v>
      </c>
      <c r="B132" s="13">
        <v>46109</v>
      </c>
      <c r="C132" t="s">
        <v>49</v>
      </c>
      <c r="D132" t="s">
        <v>43</v>
      </c>
      <c r="E132">
        <v>32</v>
      </c>
      <c r="F132" s="14">
        <v>5350</v>
      </c>
      <c r="G132" s="14">
        <v>171200</v>
      </c>
    </row>
    <row r="133" spans="1:7" x14ac:dyDescent="0.2">
      <c r="A133">
        <v>137</v>
      </c>
      <c r="B133" s="13">
        <v>46109</v>
      </c>
      <c r="C133" t="s">
        <v>46</v>
      </c>
      <c r="D133" t="s">
        <v>42</v>
      </c>
      <c r="E133">
        <v>32</v>
      </c>
      <c r="F133" s="14">
        <v>4520</v>
      </c>
      <c r="G133" s="14">
        <v>144640</v>
      </c>
    </row>
    <row r="134" spans="1:7" x14ac:dyDescent="0.2">
      <c r="A134">
        <v>138</v>
      </c>
      <c r="B134" s="13">
        <v>46109</v>
      </c>
      <c r="C134" t="s">
        <v>32</v>
      </c>
      <c r="D134" t="s">
        <v>33</v>
      </c>
      <c r="E134">
        <v>19</v>
      </c>
      <c r="F134" s="14">
        <v>20110</v>
      </c>
      <c r="G134" s="14">
        <v>382090</v>
      </c>
    </row>
    <row r="135" spans="1:7" x14ac:dyDescent="0.2">
      <c r="A135">
        <v>139</v>
      </c>
      <c r="B135" s="13">
        <v>46109</v>
      </c>
      <c r="C135" t="s">
        <v>32</v>
      </c>
      <c r="D135" t="s">
        <v>48</v>
      </c>
      <c r="E135">
        <v>17</v>
      </c>
      <c r="F135" s="14">
        <v>1890</v>
      </c>
      <c r="G135" s="14">
        <v>32130</v>
      </c>
    </row>
    <row r="136" spans="1:7" x14ac:dyDescent="0.2">
      <c r="A136">
        <v>140</v>
      </c>
      <c r="B136" s="13">
        <v>46110</v>
      </c>
      <c r="C136" t="s">
        <v>36</v>
      </c>
      <c r="D136" t="s">
        <v>51</v>
      </c>
      <c r="E136">
        <v>11</v>
      </c>
      <c r="F136" s="14">
        <v>14570</v>
      </c>
      <c r="G136" s="14">
        <v>160270</v>
      </c>
    </row>
    <row r="137" spans="1:7" x14ac:dyDescent="0.2">
      <c r="A137">
        <v>141</v>
      </c>
      <c r="B137" s="13">
        <v>46110</v>
      </c>
      <c r="C137" t="s">
        <v>49</v>
      </c>
      <c r="D137" t="s">
        <v>39</v>
      </c>
      <c r="E137">
        <v>26</v>
      </c>
      <c r="F137" s="14">
        <v>2760</v>
      </c>
      <c r="G137" s="14">
        <v>71760</v>
      </c>
    </row>
    <row r="138" spans="1:7" x14ac:dyDescent="0.2">
      <c r="A138">
        <v>142</v>
      </c>
      <c r="B138" s="13">
        <v>46111</v>
      </c>
      <c r="C138" t="s">
        <v>45</v>
      </c>
      <c r="D138" t="s">
        <v>39</v>
      </c>
      <c r="E138">
        <v>28</v>
      </c>
      <c r="F138" s="14">
        <v>2700</v>
      </c>
      <c r="G138" s="14">
        <v>75600</v>
      </c>
    </row>
    <row r="139" spans="1:7" x14ac:dyDescent="0.2">
      <c r="A139">
        <v>143</v>
      </c>
      <c r="B139" s="13">
        <v>46113</v>
      </c>
      <c r="C139" t="s">
        <v>45</v>
      </c>
      <c r="D139" t="s">
        <v>42</v>
      </c>
      <c r="E139">
        <v>2</v>
      </c>
      <c r="F139" s="14">
        <v>4710</v>
      </c>
      <c r="G139" s="14">
        <v>9420</v>
      </c>
    </row>
    <row r="140" spans="1:7" x14ac:dyDescent="0.2">
      <c r="A140">
        <v>144</v>
      </c>
      <c r="B140" s="13">
        <v>46113</v>
      </c>
      <c r="C140" t="s">
        <v>41</v>
      </c>
      <c r="D140" t="s">
        <v>35</v>
      </c>
      <c r="E140">
        <v>37</v>
      </c>
      <c r="F140" s="14">
        <v>2970</v>
      </c>
      <c r="G140" s="14">
        <v>109890</v>
      </c>
    </row>
    <row r="141" spans="1:7" x14ac:dyDescent="0.2">
      <c r="A141">
        <v>145</v>
      </c>
      <c r="B141" s="13">
        <v>46115</v>
      </c>
      <c r="C141" t="s">
        <v>41</v>
      </c>
      <c r="D141" t="s">
        <v>39</v>
      </c>
      <c r="E141">
        <v>8</v>
      </c>
      <c r="F141" s="14">
        <v>2810</v>
      </c>
      <c r="G141" s="14">
        <v>22480</v>
      </c>
    </row>
    <row r="142" spans="1:7" x14ac:dyDescent="0.2">
      <c r="A142">
        <v>146</v>
      </c>
      <c r="B142" s="13">
        <v>46115</v>
      </c>
      <c r="C142" t="s">
        <v>34</v>
      </c>
      <c r="D142" t="s">
        <v>35</v>
      </c>
      <c r="E142">
        <v>3</v>
      </c>
      <c r="F142" s="14">
        <v>3440</v>
      </c>
      <c r="G142" s="14">
        <v>10320</v>
      </c>
    </row>
    <row r="143" spans="1:7" x14ac:dyDescent="0.2">
      <c r="A143">
        <v>147</v>
      </c>
      <c r="B143" s="13">
        <v>46115</v>
      </c>
      <c r="C143" t="s">
        <v>36</v>
      </c>
      <c r="D143" t="s">
        <v>39</v>
      </c>
      <c r="E143">
        <v>36</v>
      </c>
      <c r="F143" s="14">
        <v>2490</v>
      </c>
      <c r="G143" s="14">
        <v>89640</v>
      </c>
    </row>
    <row r="144" spans="1:7" x14ac:dyDescent="0.2">
      <c r="A144">
        <v>148</v>
      </c>
      <c r="B144" s="13">
        <v>46115</v>
      </c>
      <c r="C144" t="s">
        <v>47</v>
      </c>
      <c r="D144" t="s">
        <v>48</v>
      </c>
      <c r="E144">
        <v>2</v>
      </c>
      <c r="F144" s="14">
        <v>1710</v>
      </c>
      <c r="G144" s="14">
        <v>3420</v>
      </c>
    </row>
    <row r="145" spans="1:7" x14ac:dyDescent="0.2">
      <c r="A145">
        <v>149</v>
      </c>
      <c r="B145" s="13">
        <v>46117</v>
      </c>
      <c r="C145" t="s">
        <v>36</v>
      </c>
      <c r="D145" t="s">
        <v>44</v>
      </c>
      <c r="E145">
        <v>19</v>
      </c>
      <c r="F145" s="14">
        <v>3620</v>
      </c>
      <c r="G145" s="14">
        <v>68780</v>
      </c>
    </row>
    <row r="146" spans="1:7" x14ac:dyDescent="0.2">
      <c r="A146">
        <v>151</v>
      </c>
      <c r="B146" s="13">
        <v>46117</v>
      </c>
      <c r="C146" t="s">
        <v>45</v>
      </c>
      <c r="D146" t="s">
        <v>37</v>
      </c>
      <c r="E146">
        <v>28</v>
      </c>
      <c r="F146" s="14">
        <v>3530</v>
      </c>
      <c r="G146" s="14">
        <v>98840</v>
      </c>
    </row>
    <row r="147" spans="1:7" x14ac:dyDescent="0.2">
      <c r="A147">
        <v>152</v>
      </c>
      <c r="B147" s="13">
        <v>46119</v>
      </c>
      <c r="C147" t="s">
        <v>34</v>
      </c>
      <c r="D147" t="s">
        <v>35</v>
      </c>
      <c r="E147">
        <v>26</v>
      </c>
      <c r="F147" s="14">
        <v>3400</v>
      </c>
      <c r="G147" s="14">
        <v>88400</v>
      </c>
    </row>
    <row r="148" spans="1:7" x14ac:dyDescent="0.2">
      <c r="A148">
        <v>153</v>
      </c>
      <c r="B148" s="13">
        <v>46120</v>
      </c>
      <c r="C148" t="s">
        <v>47</v>
      </c>
      <c r="D148" t="s">
        <v>35</v>
      </c>
      <c r="E148">
        <v>31</v>
      </c>
      <c r="F148" s="14">
        <v>3130</v>
      </c>
      <c r="G148" s="14">
        <v>97030</v>
      </c>
    </row>
    <row r="149" spans="1:7" x14ac:dyDescent="0.2">
      <c r="A149">
        <v>154</v>
      </c>
      <c r="B149" s="13">
        <v>46120</v>
      </c>
      <c r="C149" t="s">
        <v>38</v>
      </c>
      <c r="D149" t="s">
        <v>35</v>
      </c>
      <c r="E149">
        <v>30</v>
      </c>
      <c r="F149" s="14">
        <v>3390</v>
      </c>
      <c r="G149" s="14">
        <v>101700</v>
      </c>
    </row>
    <row r="150" spans="1:7" x14ac:dyDescent="0.2">
      <c r="A150">
        <v>156</v>
      </c>
      <c r="B150" s="13">
        <v>46122</v>
      </c>
      <c r="C150" t="s">
        <v>38</v>
      </c>
      <c r="D150" t="s">
        <v>40</v>
      </c>
      <c r="E150">
        <v>2</v>
      </c>
      <c r="F150" s="14">
        <v>5970</v>
      </c>
      <c r="G150" s="14">
        <v>11940</v>
      </c>
    </row>
    <row r="151" spans="1:7" x14ac:dyDescent="0.2">
      <c r="A151">
        <v>157</v>
      </c>
      <c r="B151" s="13">
        <v>46123</v>
      </c>
      <c r="C151" t="s">
        <v>41</v>
      </c>
      <c r="D151" t="s">
        <v>37</v>
      </c>
      <c r="E151">
        <v>28</v>
      </c>
      <c r="F151" s="14">
        <v>3380</v>
      </c>
      <c r="G151" s="14">
        <v>94640</v>
      </c>
    </row>
    <row r="152" spans="1:7" x14ac:dyDescent="0.2">
      <c r="A152">
        <v>158</v>
      </c>
      <c r="B152" s="13">
        <v>46124</v>
      </c>
      <c r="C152" t="s">
        <v>50</v>
      </c>
      <c r="D152" t="s">
        <v>43</v>
      </c>
      <c r="E152">
        <v>19</v>
      </c>
      <c r="F152" s="14">
        <v>5350</v>
      </c>
      <c r="G152" s="14">
        <v>101650</v>
      </c>
    </row>
    <row r="153" spans="1:7" x14ac:dyDescent="0.2">
      <c r="A153">
        <v>159</v>
      </c>
      <c r="B153" s="13">
        <v>46125</v>
      </c>
      <c r="C153" t="s">
        <v>47</v>
      </c>
      <c r="D153" t="s">
        <v>44</v>
      </c>
      <c r="E153">
        <v>7</v>
      </c>
      <c r="F153" s="14">
        <v>3630</v>
      </c>
      <c r="G153" s="14">
        <v>25410</v>
      </c>
    </row>
    <row r="154" spans="1:7" x14ac:dyDescent="0.2">
      <c r="A154">
        <v>160</v>
      </c>
      <c r="B154" s="13">
        <v>46125</v>
      </c>
      <c r="C154" t="s">
        <v>50</v>
      </c>
      <c r="D154" t="s">
        <v>43</v>
      </c>
      <c r="E154">
        <v>31</v>
      </c>
      <c r="F154" s="14">
        <v>5500</v>
      </c>
      <c r="G154" s="14">
        <v>170500</v>
      </c>
    </row>
    <row r="155" spans="1:7" x14ac:dyDescent="0.2">
      <c r="A155">
        <v>161</v>
      </c>
      <c r="B155" s="13">
        <v>46126</v>
      </c>
      <c r="C155" t="s">
        <v>47</v>
      </c>
      <c r="D155" t="s">
        <v>39</v>
      </c>
      <c r="E155">
        <v>20</v>
      </c>
      <c r="F155" s="14">
        <v>2720</v>
      </c>
      <c r="G155" s="14">
        <v>54400</v>
      </c>
    </row>
    <row r="156" spans="1:7" x14ac:dyDescent="0.2">
      <c r="A156">
        <v>162</v>
      </c>
      <c r="B156" s="13">
        <v>46126</v>
      </c>
      <c r="C156" t="s">
        <v>47</v>
      </c>
      <c r="D156" t="s">
        <v>33</v>
      </c>
      <c r="E156">
        <v>15</v>
      </c>
      <c r="F156" s="14">
        <v>20160</v>
      </c>
      <c r="G156" s="14">
        <v>302400</v>
      </c>
    </row>
    <row r="157" spans="1:7" x14ac:dyDescent="0.2">
      <c r="A157">
        <v>163</v>
      </c>
      <c r="B157" s="13">
        <v>46127</v>
      </c>
      <c r="C157" t="s">
        <v>46</v>
      </c>
      <c r="D157" t="s">
        <v>39</v>
      </c>
      <c r="E157">
        <v>25</v>
      </c>
      <c r="F157" s="14">
        <v>2610</v>
      </c>
      <c r="G157" s="14">
        <v>65250</v>
      </c>
    </row>
    <row r="158" spans="1:7" x14ac:dyDescent="0.2">
      <c r="A158">
        <v>164</v>
      </c>
      <c r="B158" s="13">
        <v>46127</v>
      </c>
      <c r="C158" t="s">
        <v>34</v>
      </c>
      <c r="D158" t="s">
        <v>44</v>
      </c>
      <c r="E158">
        <v>1</v>
      </c>
      <c r="F158" s="14">
        <v>3800</v>
      </c>
      <c r="G158" s="14">
        <v>3800</v>
      </c>
    </row>
    <row r="159" spans="1:7" x14ac:dyDescent="0.2">
      <c r="A159">
        <v>165</v>
      </c>
      <c r="B159" s="13">
        <v>46127</v>
      </c>
      <c r="C159" t="s">
        <v>34</v>
      </c>
      <c r="D159" t="s">
        <v>40</v>
      </c>
      <c r="E159">
        <v>5</v>
      </c>
      <c r="F159" s="14">
        <v>5810</v>
      </c>
      <c r="G159" s="14">
        <v>29050</v>
      </c>
    </row>
    <row r="160" spans="1:7" x14ac:dyDescent="0.2">
      <c r="A160">
        <v>166</v>
      </c>
      <c r="B160" s="13">
        <v>46127</v>
      </c>
      <c r="C160" t="s">
        <v>45</v>
      </c>
      <c r="D160" t="s">
        <v>43</v>
      </c>
      <c r="E160">
        <v>33</v>
      </c>
      <c r="F160" s="14">
        <v>4950</v>
      </c>
      <c r="G160" s="14">
        <v>163350</v>
      </c>
    </row>
    <row r="161" spans="1:7" x14ac:dyDescent="0.2">
      <c r="A161">
        <v>167</v>
      </c>
      <c r="B161" s="13">
        <v>46128</v>
      </c>
      <c r="C161" t="s">
        <v>32</v>
      </c>
      <c r="D161" t="s">
        <v>40</v>
      </c>
      <c r="E161">
        <v>14</v>
      </c>
      <c r="F161" s="14">
        <v>5400</v>
      </c>
      <c r="G161" s="14">
        <v>75600</v>
      </c>
    </row>
    <row r="162" spans="1:7" x14ac:dyDescent="0.2">
      <c r="A162">
        <v>168</v>
      </c>
      <c r="B162" s="13">
        <v>46131</v>
      </c>
      <c r="C162" t="s">
        <v>47</v>
      </c>
      <c r="D162" t="s">
        <v>42</v>
      </c>
      <c r="E162">
        <v>18</v>
      </c>
      <c r="F162" s="14">
        <v>4600</v>
      </c>
      <c r="G162" s="14">
        <v>82800</v>
      </c>
    </row>
    <row r="163" spans="1:7" x14ac:dyDescent="0.2">
      <c r="A163">
        <v>169</v>
      </c>
      <c r="B163" s="13">
        <v>46133</v>
      </c>
      <c r="C163" t="s">
        <v>46</v>
      </c>
      <c r="D163" t="s">
        <v>37</v>
      </c>
      <c r="E163">
        <v>5</v>
      </c>
      <c r="F163" s="14">
        <v>3360</v>
      </c>
      <c r="G163" s="14">
        <v>16800</v>
      </c>
    </row>
    <row r="164" spans="1:7" x14ac:dyDescent="0.2">
      <c r="A164">
        <v>170</v>
      </c>
      <c r="B164" s="13">
        <v>46133</v>
      </c>
      <c r="C164" t="s">
        <v>47</v>
      </c>
      <c r="D164" t="s">
        <v>44</v>
      </c>
      <c r="E164">
        <v>40</v>
      </c>
      <c r="F164" s="14">
        <v>3710</v>
      </c>
      <c r="G164" s="14">
        <v>148400</v>
      </c>
    </row>
    <row r="165" spans="1:7" x14ac:dyDescent="0.2">
      <c r="A165">
        <v>171</v>
      </c>
      <c r="B165" s="13">
        <v>46133</v>
      </c>
      <c r="C165" t="s">
        <v>41</v>
      </c>
      <c r="D165" t="s">
        <v>42</v>
      </c>
      <c r="E165">
        <v>29</v>
      </c>
      <c r="F165" s="14">
        <v>4150</v>
      </c>
      <c r="G165" s="14">
        <v>120350</v>
      </c>
    </row>
    <row r="166" spans="1:7" x14ac:dyDescent="0.2">
      <c r="A166">
        <v>172</v>
      </c>
      <c r="B166" s="13">
        <v>46135</v>
      </c>
      <c r="C166" t="s">
        <v>41</v>
      </c>
      <c r="D166" t="s">
        <v>33</v>
      </c>
      <c r="E166">
        <v>9</v>
      </c>
      <c r="F166" s="14">
        <v>20390</v>
      </c>
      <c r="G166" s="14">
        <v>183510</v>
      </c>
    </row>
    <row r="167" spans="1:7" x14ac:dyDescent="0.2">
      <c r="A167">
        <v>174</v>
      </c>
      <c r="B167" s="13">
        <v>46135</v>
      </c>
      <c r="C167" t="s">
        <v>46</v>
      </c>
      <c r="D167" t="s">
        <v>33</v>
      </c>
      <c r="E167">
        <v>8</v>
      </c>
      <c r="F167" s="14">
        <v>19730</v>
      </c>
      <c r="G167" s="14">
        <v>157840</v>
      </c>
    </row>
    <row r="168" spans="1:7" x14ac:dyDescent="0.2">
      <c r="A168">
        <v>175</v>
      </c>
      <c r="B168" s="13">
        <v>46136</v>
      </c>
      <c r="C168" t="s">
        <v>49</v>
      </c>
      <c r="D168" t="s">
        <v>33</v>
      </c>
      <c r="E168">
        <v>5</v>
      </c>
      <c r="F168" s="14">
        <v>19560</v>
      </c>
      <c r="G168" s="14">
        <v>97800</v>
      </c>
    </row>
    <row r="169" spans="1:7" x14ac:dyDescent="0.2">
      <c r="A169">
        <v>176</v>
      </c>
      <c r="B169" s="13">
        <v>46138</v>
      </c>
      <c r="C169" t="s">
        <v>46</v>
      </c>
      <c r="D169" t="s">
        <v>51</v>
      </c>
      <c r="E169">
        <v>9</v>
      </c>
      <c r="F169" s="14">
        <v>13590</v>
      </c>
      <c r="G169" s="14">
        <v>122310</v>
      </c>
    </row>
    <row r="170" spans="1:7" x14ac:dyDescent="0.2">
      <c r="A170">
        <v>177</v>
      </c>
      <c r="B170" s="13">
        <v>46138</v>
      </c>
      <c r="C170" t="s">
        <v>36</v>
      </c>
      <c r="D170" t="s">
        <v>42</v>
      </c>
      <c r="E170">
        <v>31</v>
      </c>
      <c r="F170" s="14">
        <v>4730</v>
      </c>
      <c r="G170" s="14">
        <v>146630</v>
      </c>
    </row>
    <row r="171" spans="1:7" x14ac:dyDescent="0.2">
      <c r="A171">
        <v>178</v>
      </c>
      <c r="B171" s="13">
        <v>46138</v>
      </c>
      <c r="C171" t="s">
        <v>38</v>
      </c>
      <c r="D171" t="s">
        <v>40</v>
      </c>
      <c r="E171">
        <v>37</v>
      </c>
      <c r="F171" s="14">
        <v>5710</v>
      </c>
      <c r="G171" s="14">
        <v>211270</v>
      </c>
    </row>
    <row r="172" spans="1:7" x14ac:dyDescent="0.2">
      <c r="A172">
        <v>179</v>
      </c>
      <c r="B172" s="13">
        <v>46138</v>
      </c>
      <c r="C172" t="s">
        <v>32</v>
      </c>
      <c r="D172" t="s">
        <v>51</v>
      </c>
      <c r="E172">
        <v>37</v>
      </c>
      <c r="F172" s="14">
        <v>14590</v>
      </c>
      <c r="G172" s="14">
        <v>539830</v>
      </c>
    </row>
    <row r="173" spans="1:7" x14ac:dyDescent="0.2">
      <c r="A173">
        <v>180</v>
      </c>
      <c r="B173" s="13">
        <v>46140</v>
      </c>
      <c r="C173" t="s">
        <v>47</v>
      </c>
      <c r="D173" t="s">
        <v>37</v>
      </c>
      <c r="E173">
        <v>29</v>
      </c>
      <c r="F173" s="14">
        <v>3770</v>
      </c>
      <c r="G173" s="14">
        <v>109330</v>
      </c>
    </row>
    <row r="174" spans="1:7" x14ac:dyDescent="0.2">
      <c r="A174">
        <v>181</v>
      </c>
      <c r="B174" s="13">
        <v>46143</v>
      </c>
      <c r="C174" t="s">
        <v>47</v>
      </c>
      <c r="D174" t="s">
        <v>44</v>
      </c>
      <c r="E174">
        <v>40</v>
      </c>
      <c r="F174" s="14">
        <v>4020</v>
      </c>
      <c r="G174" s="14">
        <v>160800</v>
      </c>
    </row>
    <row r="175" spans="1:7" x14ac:dyDescent="0.2">
      <c r="A175">
        <v>182</v>
      </c>
      <c r="B175" s="13">
        <v>46143</v>
      </c>
      <c r="C175" t="s">
        <v>36</v>
      </c>
      <c r="D175" t="s">
        <v>44</v>
      </c>
      <c r="E175">
        <v>26</v>
      </c>
      <c r="F175" s="14">
        <v>3870</v>
      </c>
      <c r="G175" s="14">
        <v>100620</v>
      </c>
    </row>
    <row r="176" spans="1:7" x14ac:dyDescent="0.2">
      <c r="A176">
        <v>183</v>
      </c>
      <c r="B176" s="13">
        <v>46143</v>
      </c>
      <c r="C176" t="s">
        <v>38</v>
      </c>
      <c r="D176" t="s">
        <v>51</v>
      </c>
      <c r="E176">
        <v>6</v>
      </c>
      <c r="F176" s="14">
        <v>14890</v>
      </c>
      <c r="G176" s="14">
        <v>89340</v>
      </c>
    </row>
    <row r="177" spans="1:7" x14ac:dyDescent="0.2">
      <c r="A177">
        <v>184</v>
      </c>
      <c r="B177" s="13">
        <v>46143</v>
      </c>
      <c r="C177" t="s">
        <v>50</v>
      </c>
      <c r="D177" t="s">
        <v>39</v>
      </c>
      <c r="E177">
        <v>19</v>
      </c>
      <c r="F177" s="14">
        <v>2520</v>
      </c>
      <c r="G177" s="14">
        <v>47880</v>
      </c>
    </row>
    <row r="178" spans="1:7" x14ac:dyDescent="0.2">
      <c r="A178">
        <v>185</v>
      </c>
      <c r="B178" s="13">
        <v>46144</v>
      </c>
      <c r="C178" t="s">
        <v>36</v>
      </c>
      <c r="D178" t="s">
        <v>33</v>
      </c>
      <c r="E178">
        <v>31</v>
      </c>
      <c r="F178" s="14">
        <v>17550</v>
      </c>
      <c r="G178" s="14">
        <v>544050</v>
      </c>
    </row>
    <row r="179" spans="1:7" x14ac:dyDescent="0.2">
      <c r="A179">
        <v>186</v>
      </c>
      <c r="B179" s="13">
        <v>46147</v>
      </c>
      <c r="C179" t="s">
        <v>45</v>
      </c>
      <c r="D179" t="s">
        <v>43</v>
      </c>
      <c r="E179">
        <v>26</v>
      </c>
      <c r="F179" s="14">
        <v>5430</v>
      </c>
      <c r="G179" s="14">
        <v>141180</v>
      </c>
    </row>
    <row r="180" spans="1:7" x14ac:dyDescent="0.2">
      <c r="A180">
        <v>187</v>
      </c>
      <c r="B180" s="13">
        <v>46147</v>
      </c>
      <c r="C180" t="s">
        <v>38</v>
      </c>
      <c r="D180" t="s">
        <v>48</v>
      </c>
      <c r="E180">
        <v>18</v>
      </c>
      <c r="F180" s="14">
        <v>1840</v>
      </c>
      <c r="G180" s="14">
        <v>33120</v>
      </c>
    </row>
    <row r="181" spans="1:7" x14ac:dyDescent="0.2">
      <c r="A181">
        <v>188</v>
      </c>
      <c r="B181" s="13">
        <v>46148</v>
      </c>
      <c r="C181" t="s">
        <v>38</v>
      </c>
      <c r="D181" t="s">
        <v>37</v>
      </c>
      <c r="E181">
        <v>37</v>
      </c>
      <c r="F181" s="14">
        <v>3690</v>
      </c>
      <c r="G181" s="14">
        <v>136530</v>
      </c>
    </row>
    <row r="182" spans="1:7" x14ac:dyDescent="0.2">
      <c r="A182">
        <v>189</v>
      </c>
      <c r="B182" s="13">
        <v>46148</v>
      </c>
      <c r="C182" t="s">
        <v>47</v>
      </c>
      <c r="D182" t="s">
        <v>37</v>
      </c>
      <c r="E182">
        <v>18</v>
      </c>
      <c r="F182" s="14">
        <v>3360</v>
      </c>
      <c r="G182" s="14">
        <v>60480</v>
      </c>
    </row>
    <row r="183" spans="1:7" x14ac:dyDescent="0.2">
      <c r="A183">
        <v>190</v>
      </c>
      <c r="B183" s="13">
        <v>46148</v>
      </c>
      <c r="C183" t="s">
        <v>38</v>
      </c>
      <c r="D183" t="s">
        <v>43</v>
      </c>
      <c r="E183">
        <v>23</v>
      </c>
      <c r="F183" s="14">
        <v>4890</v>
      </c>
      <c r="G183" s="14">
        <v>112470</v>
      </c>
    </row>
    <row r="184" spans="1:7" x14ac:dyDescent="0.2">
      <c r="A184">
        <v>191</v>
      </c>
      <c r="B184" s="13">
        <v>46148</v>
      </c>
      <c r="C184" t="s">
        <v>47</v>
      </c>
      <c r="D184" t="s">
        <v>40</v>
      </c>
      <c r="E184">
        <v>29</v>
      </c>
      <c r="F184" s="14">
        <v>5970</v>
      </c>
      <c r="G184" s="14">
        <v>173130</v>
      </c>
    </row>
    <row r="185" spans="1:7" x14ac:dyDescent="0.2">
      <c r="A185">
        <v>192</v>
      </c>
      <c r="B185" s="13">
        <v>46148</v>
      </c>
      <c r="C185" t="s">
        <v>32</v>
      </c>
      <c r="D185" t="s">
        <v>33</v>
      </c>
      <c r="E185">
        <v>7</v>
      </c>
      <c r="F185" s="14">
        <v>19150</v>
      </c>
      <c r="G185" s="14">
        <v>134050</v>
      </c>
    </row>
    <row r="186" spans="1:7" x14ac:dyDescent="0.2">
      <c r="A186">
        <v>193</v>
      </c>
      <c r="B186" s="13">
        <v>46149</v>
      </c>
      <c r="C186" t="s">
        <v>32</v>
      </c>
      <c r="D186" t="s">
        <v>48</v>
      </c>
      <c r="E186">
        <v>7</v>
      </c>
      <c r="F186" s="14">
        <v>1820</v>
      </c>
      <c r="G186" s="14">
        <v>12740</v>
      </c>
    </row>
    <row r="187" spans="1:7" x14ac:dyDescent="0.2">
      <c r="A187">
        <v>194</v>
      </c>
      <c r="B187" s="13">
        <v>46149</v>
      </c>
      <c r="C187" t="s">
        <v>50</v>
      </c>
      <c r="D187" t="s">
        <v>44</v>
      </c>
      <c r="E187">
        <v>16</v>
      </c>
      <c r="F187" s="14">
        <v>4180</v>
      </c>
      <c r="G187" s="14">
        <v>66880</v>
      </c>
    </row>
    <row r="188" spans="1:7" x14ac:dyDescent="0.2">
      <c r="A188">
        <v>195</v>
      </c>
      <c r="B188" s="13">
        <v>46150</v>
      </c>
      <c r="C188" t="s">
        <v>45</v>
      </c>
      <c r="D188" t="s">
        <v>35</v>
      </c>
      <c r="E188">
        <v>8</v>
      </c>
      <c r="F188" s="14">
        <v>3130</v>
      </c>
      <c r="G188" s="14">
        <v>25040</v>
      </c>
    </row>
    <row r="189" spans="1:7" x14ac:dyDescent="0.2">
      <c r="A189">
        <v>196</v>
      </c>
      <c r="B189" s="13">
        <v>46151</v>
      </c>
      <c r="C189" t="s">
        <v>36</v>
      </c>
      <c r="D189" t="s">
        <v>33</v>
      </c>
      <c r="E189">
        <v>38</v>
      </c>
      <c r="F189" s="14">
        <v>19650</v>
      </c>
      <c r="G189" s="14">
        <v>746700</v>
      </c>
    </row>
    <row r="190" spans="1:7" x14ac:dyDescent="0.2">
      <c r="A190">
        <v>197</v>
      </c>
      <c r="B190" s="13">
        <v>46151</v>
      </c>
      <c r="C190" t="s">
        <v>36</v>
      </c>
      <c r="D190" t="s">
        <v>37</v>
      </c>
      <c r="E190">
        <v>10</v>
      </c>
      <c r="F190" s="14">
        <v>3340</v>
      </c>
      <c r="G190" s="14">
        <v>33400</v>
      </c>
    </row>
    <row r="191" spans="1:7" x14ac:dyDescent="0.2">
      <c r="A191">
        <v>198</v>
      </c>
      <c r="B191" s="13">
        <v>46151</v>
      </c>
      <c r="C191" t="s">
        <v>50</v>
      </c>
      <c r="D191" t="s">
        <v>42</v>
      </c>
      <c r="E191">
        <v>30</v>
      </c>
      <c r="F191" s="14">
        <v>4250</v>
      </c>
      <c r="G191" s="14">
        <v>127500</v>
      </c>
    </row>
    <row r="192" spans="1:7" x14ac:dyDescent="0.2">
      <c r="A192">
        <v>199</v>
      </c>
      <c r="B192" s="13">
        <v>46151</v>
      </c>
      <c r="C192" t="s">
        <v>50</v>
      </c>
      <c r="D192" t="s">
        <v>51</v>
      </c>
      <c r="E192">
        <v>35</v>
      </c>
      <c r="F192" s="14">
        <v>15010</v>
      </c>
      <c r="G192" s="14">
        <v>525350</v>
      </c>
    </row>
    <row r="193" spans="1:7" x14ac:dyDescent="0.2">
      <c r="A193">
        <v>200</v>
      </c>
      <c r="B193" s="13">
        <v>46151</v>
      </c>
      <c r="C193" t="s">
        <v>45</v>
      </c>
      <c r="D193" t="s">
        <v>39</v>
      </c>
      <c r="E193">
        <v>35</v>
      </c>
      <c r="F193" s="14">
        <v>2900</v>
      </c>
      <c r="G193" s="14">
        <v>101500</v>
      </c>
    </row>
    <row r="194" spans="1:7" x14ac:dyDescent="0.2">
      <c r="A194">
        <v>202</v>
      </c>
      <c r="B194" s="13">
        <v>46154</v>
      </c>
      <c r="C194" t="s">
        <v>36</v>
      </c>
      <c r="D194" t="s">
        <v>43</v>
      </c>
      <c r="E194">
        <v>26</v>
      </c>
      <c r="F194" s="14">
        <v>5410</v>
      </c>
      <c r="G194" s="14">
        <v>140660</v>
      </c>
    </row>
    <row r="195" spans="1:7" x14ac:dyDescent="0.2">
      <c r="A195">
        <v>203</v>
      </c>
      <c r="B195" s="13">
        <v>46155</v>
      </c>
      <c r="C195" t="s">
        <v>50</v>
      </c>
      <c r="D195" t="s">
        <v>48</v>
      </c>
      <c r="E195">
        <v>12</v>
      </c>
      <c r="F195" s="14">
        <v>1760</v>
      </c>
      <c r="G195" s="14">
        <v>21120</v>
      </c>
    </row>
    <row r="196" spans="1:7" x14ac:dyDescent="0.2">
      <c r="A196">
        <v>204</v>
      </c>
      <c r="B196" s="13">
        <v>46157</v>
      </c>
      <c r="C196" t="s">
        <v>38</v>
      </c>
      <c r="D196" t="s">
        <v>48</v>
      </c>
      <c r="E196">
        <v>16</v>
      </c>
      <c r="F196" s="14">
        <v>1720</v>
      </c>
      <c r="G196" s="14">
        <v>27520</v>
      </c>
    </row>
    <row r="197" spans="1:7" x14ac:dyDescent="0.2">
      <c r="A197">
        <v>205</v>
      </c>
      <c r="B197" s="13">
        <v>46160</v>
      </c>
      <c r="C197" t="s">
        <v>46</v>
      </c>
      <c r="D197" t="s">
        <v>42</v>
      </c>
      <c r="E197">
        <v>19</v>
      </c>
      <c r="F197" s="14">
        <v>4390</v>
      </c>
      <c r="G197" s="14">
        <v>83410</v>
      </c>
    </row>
    <row r="198" spans="1:7" x14ac:dyDescent="0.2">
      <c r="A198">
        <v>206</v>
      </c>
      <c r="B198" s="13">
        <v>46160</v>
      </c>
      <c r="C198" t="s">
        <v>45</v>
      </c>
      <c r="D198" t="s">
        <v>35</v>
      </c>
      <c r="E198">
        <v>7</v>
      </c>
      <c r="F198" s="14">
        <v>2990</v>
      </c>
      <c r="G198" s="14">
        <v>20930</v>
      </c>
    </row>
    <row r="199" spans="1:7" x14ac:dyDescent="0.2">
      <c r="A199">
        <v>207</v>
      </c>
      <c r="B199" s="13">
        <v>46161</v>
      </c>
      <c r="C199" t="s">
        <v>45</v>
      </c>
      <c r="D199" t="s">
        <v>39</v>
      </c>
      <c r="E199">
        <v>11</v>
      </c>
      <c r="F199" s="14">
        <v>2730</v>
      </c>
      <c r="G199" s="14">
        <v>30030</v>
      </c>
    </row>
    <row r="200" spans="1:7" x14ac:dyDescent="0.2">
      <c r="A200">
        <v>208</v>
      </c>
      <c r="B200" s="13">
        <v>46161</v>
      </c>
      <c r="C200" t="s">
        <v>47</v>
      </c>
      <c r="D200" t="s">
        <v>33</v>
      </c>
      <c r="E200">
        <v>26</v>
      </c>
      <c r="F200" s="14">
        <v>17910</v>
      </c>
      <c r="G200" s="14">
        <v>465660</v>
      </c>
    </row>
    <row r="201" spans="1:7" x14ac:dyDescent="0.2">
      <c r="A201">
        <v>210</v>
      </c>
      <c r="B201" s="13">
        <v>46163</v>
      </c>
      <c r="C201" t="s">
        <v>34</v>
      </c>
      <c r="D201" t="s">
        <v>43</v>
      </c>
      <c r="E201">
        <v>3</v>
      </c>
      <c r="F201" s="14">
        <v>4980</v>
      </c>
      <c r="G201" s="14">
        <v>14940</v>
      </c>
    </row>
    <row r="202" spans="1:7" x14ac:dyDescent="0.2">
      <c r="A202">
        <v>211</v>
      </c>
      <c r="B202" s="13">
        <v>46164</v>
      </c>
      <c r="C202" t="s">
        <v>45</v>
      </c>
      <c r="D202" t="s">
        <v>43</v>
      </c>
      <c r="E202">
        <v>16</v>
      </c>
      <c r="F202" s="14">
        <v>4820</v>
      </c>
      <c r="G202" s="14">
        <v>77120</v>
      </c>
    </row>
    <row r="203" spans="1:7" x14ac:dyDescent="0.2">
      <c r="A203">
        <v>212</v>
      </c>
      <c r="B203" s="13">
        <v>46165</v>
      </c>
      <c r="C203" t="s">
        <v>32</v>
      </c>
      <c r="D203" t="s">
        <v>33</v>
      </c>
      <c r="E203">
        <v>36</v>
      </c>
      <c r="F203" s="14">
        <v>18510</v>
      </c>
      <c r="G203" s="14">
        <v>666360</v>
      </c>
    </row>
    <row r="204" spans="1:7" x14ac:dyDescent="0.2">
      <c r="A204">
        <v>213</v>
      </c>
      <c r="B204" s="13">
        <v>46165</v>
      </c>
      <c r="C204" t="s">
        <v>41</v>
      </c>
      <c r="D204" t="s">
        <v>43</v>
      </c>
      <c r="E204">
        <v>33</v>
      </c>
      <c r="F204" s="14">
        <v>4800</v>
      </c>
      <c r="G204" s="14">
        <v>158400</v>
      </c>
    </row>
    <row r="205" spans="1:7" x14ac:dyDescent="0.2">
      <c r="A205">
        <v>214</v>
      </c>
      <c r="B205" s="13">
        <v>46165</v>
      </c>
      <c r="C205" t="s">
        <v>47</v>
      </c>
      <c r="D205" t="s">
        <v>39</v>
      </c>
      <c r="E205">
        <v>16</v>
      </c>
      <c r="F205" s="14">
        <v>2670</v>
      </c>
      <c r="G205" s="14">
        <v>42720</v>
      </c>
    </row>
    <row r="206" spans="1:7" x14ac:dyDescent="0.2">
      <c r="A206">
        <v>215</v>
      </c>
      <c r="B206" s="13">
        <v>46165</v>
      </c>
      <c r="C206" t="s">
        <v>38</v>
      </c>
      <c r="D206" t="s">
        <v>37</v>
      </c>
      <c r="E206">
        <v>28</v>
      </c>
      <c r="F206" s="14">
        <v>3860</v>
      </c>
      <c r="G206" s="14">
        <v>108080</v>
      </c>
    </row>
    <row r="207" spans="1:7" x14ac:dyDescent="0.2">
      <c r="A207">
        <v>216</v>
      </c>
      <c r="B207" s="13">
        <v>46166</v>
      </c>
      <c r="C207" t="s">
        <v>36</v>
      </c>
      <c r="D207" t="s">
        <v>42</v>
      </c>
      <c r="E207">
        <v>19</v>
      </c>
      <c r="F207" s="14">
        <v>4720</v>
      </c>
      <c r="G207" s="14">
        <v>89680</v>
      </c>
    </row>
    <row r="208" spans="1:7" x14ac:dyDescent="0.2">
      <c r="A208">
        <v>217</v>
      </c>
      <c r="B208" s="13">
        <v>46168</v>
      </c>
      <c r="C208" t="s">
        <v>49</v>
      </c>
      <c r="D208" t="s">
        <v>35</v>
      </c>
      <c r="E208">
        <v>16</v>
      </c>
      <c r="F208" s="14">
        <v>3380</v>
      </c>
      <c r="G208" s="14">
        <v>54080</v>
      </c>
    </row>
    <row r="209" spans="1:7" x14ac:dyDescent="0.2">
      <c r="A209">
        <v>218</v>
      </c>
      <c r="B209" s="13">
        <v>46168</v>
      </c>
      <c r="C209" t="s">
        <v>41</v>
      </c>
      <c r="D209" t="s">
        <v>35</v>
      </c>
      <c r="E209">
        <v>4</v>
      </c>
      <c r="F209" s="14">
        <v>3340</v>
      </c>
      <c r="G209" s="14">
        <v>13360</v>
      </c>
    </row>
    <row r="210" spans="1:7" x14ac:dyDescent="0.2">
      <c r="A210">
        <v>219</v>
      </c>
      <c r="B210" s="13">
        <v>46169</v>
      </c>
      <c r="C210" t="s">
        <v>45</v>
      </c>
      <c r="D210" t="s">
        <v>33</v>
      </c>
      <c r="E210">
        <v>35</v>
      </c>
      <c r="F210" s="14">
        <v>19690</v>
      </c>
      <c r="G210" s="14">
        <v>689150</v>
      </c>
    </row>
    <row r="211" spans="1:7" x14ac:dyDescent="0.2">
      <c r="A211">
        <v>220</v>
      </c>
      <c r="B211" s="13">
        <v>46169</v>
      </c>
      <c r="C211" t="s">
        <v>32</v>
      </c>
      <c r="D211" t="s">
        <v>51</v>
      </c>
      <c r="E211">
        <v>13</v>
      </c>
      <c r="F211" s="14">
        <v>15230</v>
      </c>
      <c r="G211" s="14">
        <v>197990</v>
      </c>
    </row>
    <row r="212" spans="1:7" x14ac:dyDescent="0.2">
      <c r="A212">
        <v>221</v>
      </c>
      <c r="B212" s="13">
        <v>46171</v>
      </c>
      <c r="C212" t="s">
        <v>50</v>
      </c>
      <c r="D212" t="s">
        <v>39</v>
      </c>
      <c r="E212">
        <v>35</v>
      </c>
      <c r="F212" s="14">
        <v>2860</v>
      </c>
      <c r="G212" s="14">
        <v>100100</v>
      </c>
    </row>
    <row r="213" spans="1:7" x14ac:dyDescent="0.2">
      <c r="A213">
        <v>223</v>
      </c>
      <c r="B213" s="13">
        <v>46172</v>
      </c>
      <c r="C213" t="s">
        <v>32</v>
      </c>
      <c r="D213" t="s">
        <v>51</v>
      </c>
      <c r="E213">
        <v>30</v>
      </c>
      <c r="F213" s="14">
        <v>15510</v>
      </c>
      <c r="G213" s="14">
        <v>465300</v>
      </c>
    </row>
    <row r="214" spans="1:7" x14ac:dyDescent="0.2">
      <c r="A214">
        <v>224</v>
      </c>
      <c r="B214" s="13">
        <v>46173</v>
      </c>
      <c r="C214" t="s">
        <v>41</v>
      </c>
      <c r="D214" t="s">
        <v>33</v>
      </c>
      <c r="E214">
        <v>13</v>
      </c>
      <c r="F214" s="14">
        <v>18170</v>
      </c>
      <c r="G214" s="14">
        <v>236210</v>
      </c>
    </row>
    <row r="215" spans="1:7" x14ac:dyDescent="0.2">
      <c r="A215">
        <v>226</v>
      </c>
      <c r="B215" s="13">
        <v>46173</v>
      </c>
      <c r="C215" t="s">
        <v>47</v>
      </c>
      <c r="D215" t="s">
        <v>42</v>
      </c>
      <c r="E215">
        <v>28</v>
      </c>
      <c r="F215" s="14">
        <v>4510</v>
      </c>
      <c r="G215" s="14">
        <v>126280</v>
      </c>
    </row>
    <row r="216" spans="1:7" x14ac:dyDescent="0.2">
      <c r="A216">
        <v>227</v>
      </c>
      <c r="B216" s="13">
        <v>46174</v>
      </c>
      <c r="C216" t="s">
        <v>49</v>
      </c>
      <c r="D216" t="s">
        <v>51</v>
      </c>
      <c r="E216">
        <v>30</v>
      </c>
      <c r="F216" s="14">
        <v>14150</v>
      </c>
      <c r="G216" s="14">
        <v>424500</v>
      </c>
    </row>
    <row r="217" spans="1:7" x14ac:dyDescent="0.2">
      <c r="A217">
        <v>228</v>
      </c>
      <c r="B217" s="13">
        <v>46174</v>
      </c>
      <c r="C217" t="s">
        <v>41</v>
      </c>
      <c r="D217" t="s">
        <v>48</v>
      </c>
      <c r="E217">
        <v>39</v>
      </c>
      <c r="F217" s="14">
        <v>1810</v>
      </c>
      <c r="G217" s="14">
        <v>70590</v>
      </c>
    </row>
    <row r="218" spans="1:7" x14ac:dyDescent="0.2">
      <c r="A218">
        <v>229</v>
      </c>
      <c r="B218" s="13">
        <v>46176</v>
      </c>
      <c r="C218" t="s">
        <v>50</v>
      </c>
      <c r="D218" t="s">
        <v>40</v>
      </c>
      <c r="E218">
        <v>40</v>
      </c>
      <c r="F218" s="14">
        <v>5650</v>
      </c>
      <c r="G218" s="14">
        <v>226000</v>
      </c>
    </row>
    <row r="219" spans="1:7" x14ac:dyDescent="0.2">
      <c r="A219">
        <v>230</v>
      </c>
      <c r="B219" s="13">
        <v>46176</v>
      </c>
      <c r="C219" t="s">
        <v>46</v>
      </c>
      <c r="D219" t="s">
        <v>48</v>
      </c>
      <c r="E219">
        <v>15</v>
      </c>
      <c r="F219" s="14">
        <v>1740</v>
      </c>
      <c r="G219" s="14">
        <v>26100</v>
      </c>
    </row>
    <row r="220" spans="1:7" x14ac:dyDescent="0.2">
      <c r="A220">
        <v>231</v>
      </c>
      <c r="B220" s="13">
        <v>46177</v>
      </c>
      <c r="C220" t="s">
        <v>36</v>
      </c>
      <c r="D220" t="s">
        <v>42</v>
      </c>
      <c r="E220">
        <v>27</v>
      </c>
      <c r="F220" s="14">
        <v>4060</v>
      </c>
      <c r="G220" s="14">
        <v>109620</v>
      </c>
    </row>
    <row r="221" spans="1:7" x14ac:dyDescent="0.2">
      <c r="A221">
        <v>232</v>
      </c>
      <c r="B221" s="13">
        <v>46179</v>
      </c>
      <c r="C221" t="s">
        <v>47</v>
      </c>
      <c r="D221" t="s">
        <v>43</v>
      </c>
      <c r="E221">
        <v>20</v>
      </c>
      <c r="F221" s="14">
        <v>5030</v>
      </c>
      <c r="G221" s="14">
        <v>100600</v>
      </c>
    </row>
    <row r="222" spans="1:7" x14ac:dyDescent="0.2">
      <c r="A222">
        <v>233</v>
      </c>
      <c r="B222" s="13">
        <v>46180</v>
      </c>
      <c r="C222" t="s">
        <v>36</v>
      </c>
      <c r="D222" t="s">
        <v>42</v>
      </c>
      <c r="E222">
        <v>10</v>
      </c>
      <c r="F222" s="14">
        <v>4380</v>
      </c>
      <c r="G222" s="14">
        <v>43800</v>
      </c>
    </row>
    <row r="223" spans="1:7" x14ac:dyDescent="0.2">
      <c r="A223">
        <v>234</v>
      </c>
      <c r="B223" s="13">
        <v>46180</v>
      </c>
      <c r="C223" t="s">
        <v>36</v>
      </c>
      <c r="D223" t="s">
        <v>39</v>
      </c>
      <c r="E223">
        <v>36</v>
      </c>
      <c r="F223" s="14">
        <v>2530</v>
      </c>
      <c r="G223" s="14">
        <v>91080</v>
      </c>
    </row>
    <row r="224" spans="1:7" x14ac:dyDescent="0.2">
      <c r="A224">
        <v>236</v>
      </c>
      <c r="B224" s="13">
        <v>46182</v>
      </c>
      <c r="C224" t="s">
        <v>36</v>
      </c>
      <c r="D224" t="s">
        <v>33</v>
      </c>
      <c r="E224">
        <v>17</v>
      </c>
      <c r="F224" s="14">
        <v>19860</v>
      </c>
      <c r="G224" s="14">
        <v>337620</v>
      </c>
    </row>
    <row r="225" spans="1:7" x14ac:dyDescent="0.2">
      <c r="A225">
        <v>237</v>
      </c>
      <c r="B225" s="13">
        <v>46182</v>
      </c>
      <c r="C225" t="s">
        <v>49</v>
      </c>
      <c r="D225" t="s">
        <v>37</v>
      </c>
      <c r="E225">
        <v>33</v>
      </c>
      <c r="F225" s="14">
        <v>3580</v>
      </c>
      <c r="G225" s="14">
        <v>118140</v>
      </c>
    </row>
    <row r="226" spans="1:7" x14ac:dyDescent="0.2">
      <c r="A226">
        <v>239</v>
      </c>
      <c r="B226" s="13">
        <v>46182</v>
      </c>
      <c r="C226" t="s">
        <v>38</v>
      </c>
      <c r="D226" t="s">
        <v>39</v>
      </c>
      <c r="E226">
        <v>5</v>
      </c>
      <c r="F226" s="14">
        <v>2750</v>
      </c>
      <c r="G226" s="14">
        <v>13750</v>
      </c>
    </row>
    <row r="227" spans="1:7" x14ac:dyDescent="0.2">
      <c r="A227">
        <v>240</v>
      </c>
      <c r="B227" s="13">
        <v>46183</v>
      </c>
      <c r="C227" t="s">
        <v>38</v>
      </c>
      <c r="D227" t="s">
        <v>33</v>
      </c>
      <c r="E227">
        <v>35</v>
      </c>
      <c r="F227" s="14">
        <v>20360</v>
      </c>
      <c r="G227" s="14">
        <v>712600</v>
      </c>
    </row>
    <row r="228" spans="1:7" x14ac:dyDescent="0.2">
      <c r="A228">
        <v>241</v>
      </c>
      <c r="B228" s="13">
        <v>46183</v>
      </c>
      <c r="C228" t="s">
        <v>46</v>
      </c>
      <c r="D228" t="s">
        <v>35</v>
      </c>
      <c r="E228">
        <v>35</v>
      </c>
      <c r="F228" s="14">
        <v>2980</v>
      </c>
      <c r="G228" s="14">
        <v>104300</v>
      </c>
    </row>
    <row r="229" spans="1:7" x14ac:dyDescent="0.2">
      <c r="A229">
        <v>242</v>
      </c>
      <c r="B229" s="13">
        <v>46183</v>
      </c>
      <c r="C229" t="s">
        <v>32</v>
      </c>
      <c r="D229" t="s">
        <v>48</v>
      </c>
      <c r="E229">
        <v>1</v>
      </c>
      <c r="F229" s="14">
        <v>1910</v>
      </c>
      <c r="G229" s="14">
        <v>1910</v>
      </c>
    </row>
    <row r="230" spans="1:7" x14ac:dyDescent="0.2">
      <c r="A230">
        <v>243</v>
      </c>
      <c r="B230" s="13">
        <v>46183</v>
      </c>
      <c r="C230" t="s">
        <v>38</v>
      </c>
      <c r="D230" t="s">
        <v>33</v>
      </c>
      <c r="E230">
        <v>21</v>
      </c>
      <c r="F230" s="14">
        <v>18610</v>
      </c>
      <c r="G230" s="14">
        <v>390810</v>
      </c>
    </row>
    <row r="231" spans="1:7" x14ac:dyDescent="0.2">
      <c r="A231">
        <v>244</v>
      </c>
      <c r="B231" s="13">
        <v>46183</v>
      </c>
      <c r="C231" t="s">
        <v>36</v>
      </c>
      <c r="D231" t="s">
        <v>42</v>
      </c>
      <c r="E231">
        <v>14</v>
      </c>
      <c r="F231" s="14">
        <v>4200</v>
      </c>
      <c r="G231" s="14">
        <v>58800</v>
      </c>
    </row>
    <row r="232" spans="1:7" x14ac:dyDescent="0.2">
      <c r="A232">
        <v>245</v>
      </c>
      <c r="B232" s="13">
        <v>46184</v>
      </c>
      <c r="C232" t="s">
        <v>38</v>
      </c>
      <c r="D232" t="s">
        <v>35</v>
      </c>
      <c r="E232">
        <v>16</v>
      </c>
      <c r="F232" s="14">
        <v>3100</v>
      </c>
      <c r="G232" s="14">
        <v>49600</v>
      </c>
    </row>
    <row r="233" spans="1:7" x14ac:dyDescent="0.2">
      <c r="A233">
        <v>246</v>
      </c>
      <c r="B233" s="13">
        <v>46185</v>
      </c>
      <c r="C233" t="s">
        <v>47</v>
      </c>
      <c r="D233" t="s">
        <v>35</v>
      </c>
      <c r="E233">
        <v>6</v>
      </c>
      <c r="F233" s="14">
        <v>3260</v>
      </c>
      <c r="G233" s="14">
        <v>19560</v>
      </c>
    </row>
    <row r="234" spans="1:7" x14ac:dyDescent="0.2">
      <c r="A234">
        <v>247</v>
      </c>
      <c r="B234" s="13">
        <v>46185</v>
      </c>
      <c r="C234" t="s">
        <v>36</v>
      </c>
      <c r="D234" t="s">
        <v>42</v>
      </c>
      <c r="E234">
        <v>19</v>
      </c>
      <c r="F234" s="14">
        <v>4370</v>
      </c>
      <c r="G234" s="14">
        <v>83030</v>
      </c>
    </row>
    <row r="235" spans="1:7" x14ac:dyDescent="0.2">
      <c r="A235">
        <v>248</v>
      </c>
      <c r="B235" s="13">
        <v>46185</v>
      </c>
      <c r="C235" t="s">
        <v>36</v>
      </c>
      <c r="D235" t="s">
        <v>39</v>
      </c>
      <c r="E235">
        <v>30</v>
      </c>
      <c r="F235" s="14">
        <v>2740</v>
      </c>
      <c r="G235" s="14">
        <v>82200</v>
      </c>
    </row>
    <row r="236" spans="1:7" x14ac:dyDescent="0.2">
      <c r="A236">
        <v>249</v>
      </c>
      <c r="B236" s="13">
        <v>46187</v>
      </c>
      <c r="C236" t="s">
        <v>50</v>
      </c>
      <c r="D236" t="s">
        <v>51</v>
      </c>
      <c r="E236">
        <v>20</v>
      </c>
      <c r="F236" s="14">
        <v>14800</v>
      </c>
      <c r="G236" s="14">
        <v>296000</v>
      </c>
    </row>
    <row r="237" spans="1:7" x14ac:dyDescent="0.2">
      <c r="A237">
        <v>250</v>
      </c>
      <c r="B237" s="13">
        <v>46188</v>
      </c>
      <c r="C237" t="s">
        <v>50</v>
      </c>
      <c r="D237" t="s">
        <v>35</v>
      </c>
      <c r="E237">
        <v>30</v>
      </c>
      <c r="F237" s="14">
        <v>3400</v>
      </c>
      <c r="G237" s="14">
        <v>102000</v>
      </c>
    </row>
    <row r="238" spans="1:7" x14ac:dyDescent="0.2">
      <c r="A238">
        <v>251</v>
      </c>
      <c r="B238" s="13">
        <v>46188</v>
      </c>
      <c r="C238" t="s">
        <v>49</v>
      </c>
      <c r="D238" t="s">
        <v>43</v>
      </c>
      <c r="E238">
        <v>30</v>
      </c>
      <c r="F238" s="14">
        <v>5100</v>
      </c>
      <c r="G238" s="14">
        <v>153000</v>
      </c>
    </row>
    <row r="239" spans="1:7" x14ac:dyDescent="0.2">
      <c r="A239">
        <v>252</v>
      </c>
      <c r="B239" s="13">
        <v>46188</v>
      </c>
      <c r="C239" t="s">
        <v>45</v>
      </c>
      <c r="D239" t="s">
        <v>40</v>
      </c>
      <c r="E239">
        <v>21</v>
      </c>
      <c r="F239" s="14">
        <v>5150</v>
      </c>
      <c r="G239" s="14">
        <v>108150</v>
      </c>
    </row>
    <row r="240" spans="1:7" x14ac:dyDescent="0.2">
      <c r="A240">
        <v>254</v>
      </c>
      <c r="B240" s="13">
        <v>46189</v>
      </c>
      <c r="C240" t="s">
        <v>38</v>
      </c>
      <c r="D240" t="s">
        <v>43</v>
      </c>
      <c r="E240">
        <v>10</v>
      </c>
      <c r="F240" s="14">
        <v>5080</v>
      </c>
      <c r="G240" s="14">
        <v>50800</v>
      </c>
    </row>
    <row r="241" spans="1:7" x14ac:dyDescent="0.2">
      <c r="A241">
        <v>255</v>
      </c>
      <c r="B241" s="13">
        <v>46191</v>
      </c>
      <c r="C241" t="s">
        <v>38</v>
      </c>
      <c r="D241" t="s">
        <v>42</v>
      </c>
      <c r="E241">
        <v>5</v>
      </c>
      <c r="F241" s="14">
        <v>4250</v>
      </c>
      <c r="G241" s="14">
        <v>21250</v>
      </c>
    </row>
    <row r="242" spans="1:7" x14ac:dyDescent="0.2">
      <c r="A242">
        <v>256</v>
      </c>
      <c r="B242" s="13">
        <v>46192</v>
      </c>
      <c r="C242" t="s">
        <v>47</v>
      </c>
      <c r="D242" t="s">
        <v>40</v>
      </c>
      <c r="E242">
        <v>38</v>
      </c>
      <c r="F242" s="14">
        <v>5150</v>
      </c>
      <c r="G242" s="14">
        <v>195700</v>
      </c>
    </row>
    <row r="243" spans="1:7" x14ac:dyDescent="0.2">
      <c r="A243">
        <v>259</v>
      </c>
      <c r="B243" s="13">
        <v>46192</v>
      </c>
      <c r="C243" t="s">
        <v>38</v>
      </c>
      <c r="D243" t="s">
        <v>51</v>
      </c>
      <c r="E243">
        <v>32</v>
      </c>
      <c r="F243" s="14">
        <v>13650</v>
      </c>
      <c r="G243" s="14">
        <v>436800</v>
      </c>
    </row>
    <row r="244" spans="1:7" x14ac:dyDescent="0.2">
      <c r="A244">
        <v>260</v>
      </c>
      <c r="B244" s="13">
        <v>46192</v>
      </c>
      <c r="C244" t="s">
        <v>50</v>
      </c>
      <c r="D244" t="s">
        <v>39</v>
      </c>
      <c r="E244">
        <v>24</v>
      </c>
      <c r="F244" s="14">
        <v>2680</v>
      </c>
      <c r="G244" s="14">
        <v>64320</v>
      </c>
    </row>
    <row r="245" spans="1:7" x14ac:dyDescent="0.2">
      <c r="A245">
        <v>261</v>
      </c>
      <c r="B245" s="13">
        <v>46193</v>
      </c>
      <c r="C245" t="s">
        <v>45</v>
      </c>
      <c r="D245" t="s">
        <v>42</v>
      </c>
      <c r="E245">
        <v>9</v>
      </c>
      <c r="F245" s="14">
        <v>4410</v>
      </c>
      <c r="G245" s="14">
        <v>39690</v>
      </c>
    </row>
    <row r="246" spans="1:7" x14ac:dyDescent="0.2">
      <c r="A246">
        <v>262</v>
      </c>
      <c r="B246" s="13">
        <v>46193</v>
      </c>
      <c r="C246" t="s">
        <v>49</v>
      </c>
      <c r="D246" t="s">
        <v>48</v>
      </c>
      <c r="E246">
        <v>37</v>
      </c>
      <c r="F246" s="14">
        <v>1900</v>
      </c>
      <c r="G246" s="14">
        <v>70300</v>
      </c>
    </row>
    <row r="247" spans="1:7" x14ac:dyDescent="0.2">
      <c r="A247">
        <v>263</v>
      </c>
      <c r="B247" s="13">
        <v>46194</v>
      </c>
      <c r="C247" t="s">
        <v>49</v>
      </c>
      <c r="D247" t="s">
        <v>35</v>
      </c>
      <c r="E247">
        <v>34</v>
      </c>
      <c r="F247" s="14">
        <v>3440</v>
      </c>
      <c r="G247" s="14">
        <v>116960</v>
      </c>
    </row>
    <row r="248" spans="1:7" x14ac:dyDescent="0.2">
      <c r="A248">
        <v>264</v>
      </c>
      <c r="B248" s="13">
        <v>46195</v>
      </c>
      <c r="C248" t="s">
        <v>32</v>
      </c>
      <c r="D248" t="s">
        <v>37</v>
      </c>
      <c r="E248">
        <v>5</v>
      </c>
      <c r="F248" s="14">
        <v>3350</v>
      </c>
      <c r="G248" s="14">
        <v>16750</v>
      </c>
    </row>
    <row r="249" spans="1:7" x14ac:dyDescent="0.2">
      <c r="A249">
        <v>265</v>
      </c>
      <c r="B249" s="13">
        <v>46195</v>
      </c>
      <c r="C249" t="s">
        <v>41</v>
      </c>
      <c r="D249" t="s">
        <v>44</v>
      </c>
      <c r="E249">
        <v>11</v>
      </c>
      <c r="F249" s="14">
        <v>4110</v>
      </c>
      <c r="G249" s="14">
        <v>45210</v>
      </c>
    </row>
    <row r="250" spans="1:7" x14ac:dyDescent="0.2">
      <c r="A250">
        <v>266</v>
      </c>
      <c r="B250" s="13">
        <v>46195</v>
      </c>
      <c r="C250" t="s">
        <v>46</v>
      </c>
      <c r="D250" t="s">
        <v>39</v>
      </c>
      <c r="E250">
        <v>29</v>
      </c>
      <c r="F250" s="14">
        <v>2720</v>
      </c>
      <c r="G250" s="14">
        <v>78880</v>
      </c>
    </row>
    <row r="251" spans="1:7" x14ac:dyDescent="0.2">
      <c r="A251">
        <v>267</v>
      </c>
      <c r="B251" s="13">
        <v>46196</v>
      </c>
      <c r="C251" t="s">
        <v>38</v>
      </c>
      <c r="D251" t="s">
        <v>42</v>
      </c>
      <c r="E251">
        <v>23</v>
      </c>
      <c r="F251" s="14">
        <v>4620</v>
      </c>
      <c r="G251" s="14">
        <v>106260</v>
      </c>
    </row>
    <row r="252" spans="1:7" x14ac:dyDescent="0.2">
      <c r="A252">
        <v>268</v>
      </c>
      <c r="B252" s="13">
        <v>46197</v>
      </c>
      <c r="C252" t="s">
        <v>46</v>
      </c>
      <c r="D252" t="s">
        <v>40</v>
      </c>
      <c r="E252">
        <v>1</v>
      </c>
      <c r="F252" s="14">
        <v>5570</v>
      </c>
      <c r="G252" s="14">
        <v>5570</v>
      </c>
    </row>
    <row r="253" spans="1:7" x14ac:dyDescent="0.2">
      <c r="A253">
        <v>269</v>
      </c>
      <c r="B253" s="13">
        <v>46197</v>
      </c>
      <c r="C253" t="s">
        <v>38</v>
      </c>
      <c r="D253" t="s">
        <v>40</v>
      </c>
      <c r="E253">
        <v>3</v>
      </c>
      <c r="F253" s="14">
        <v>5230</v>
      </c>
      <c r="G253" s="14">
        <v>15690</v>
      </c>
    </row>
    <row r="254" spans="1:7" x14ac:dyDescent="0.2">
      <c r="A254">
        <v>270</v>
      </c>
      <c r="B254" s="13">
        <v>46199</v>
      </c>
      <c r="C254" t="s">
        <v>45</v>
      </c>
      <c r="D254" t="s">
        <v>35</v>
      </c>
      <c r="E254">
        <v>28</v>
      </c>
      <c r="F254" s="14">
        <v>3080</v>
      </c>
      <c r="G254" s="14">
        <v>86240</v>
      </c>
    </row>
    <row r="255" spans="1:7" x14ac:dyDescent="0.2">
      <c r="A255">
        <v>271</v>
      </c>
      <c r="B255" s="13">
        <v>46200</v>
      </c>
      <c r="C255" t="s">
        <v>32</v>
      </c>
      <c r="D255" t="s">
        <v>33</v>
      </c>
      <c r="E255">
        <v>22</v>
      </c>
      <c r="F255" s="14">
        <v>20020</v>
      </c>
      <c r="G255" s="14">
        <v>440440</v>
      </c>
    </row>
    <row r="256" spans="1:7" x14ac:dyDescent="0.2">
      <c r="A256">
        <v>272</v>
      </c>
      <c r="B256" s="13">
        <v>46202</v>
      </c>
      <c r="C256" t="s">
        <v>50</v>
      </c>
      <c r="D256" t="s">
        <v>42</v>
      </c>
      <c r="E256">
        <v>27</v>
      </c>
      <c r="F256" s="14">
        <v>4160</v>
      </c>
      <c r="G256" s="14">
        <v>112320</v>
      </c>
    </row>
    <row r="257" spans="1:7" x14ac:dyDescent="0.2">
      <c r="A257">
        <v>273</v>
      </c>
      <c r="B257" s="13">
        <v>46203</v>
      </c>
      <c r="C257" t="s">
        <v>47</v>
      </c>
      <c r="D257" t="s">
        <v>33</v>
      </c>
      <c r="E257">
        <v>40</v>
      </c>
      <c r="F257" s="14">
        <v>18120</v>
      </c>
      <c r="G257" s="14">
        <v>724800</v>
      </c>
    </row>
    <row r="258" spans="1:7" x14ac:dyDescent="0.2">
      <c r="A258">
        <v>274</v>
      </c>
      <c r="B258" s="13">
        <v>46204</v>
      </c>
      <c r="C258" t="s">
        <v>49</v>
      </c>
      <c r="D258" t="s">
        <v>33</v>
      </c>
      <c r="E258">
        <v>1</v>
      </c>
      <c r="F258" s="14">
        <v>18760</v>
      </c>
      <c r="G258" s="14">
        <v>18760</v>
      </c>
    </row>
    <row r="259" spans="1:7" x14ac:dyDescent="0.2">
      <c r="A259">
        <v>275</v>
      </c>
      <c r="B259" s="13">
        <v>46205</v>
      </c>
      <c r="C259" t="s">
        <v>41</v>
      </c>
      <c r="D259" t="s">
        <v>51</v>
      </c>
      <c r="E259">
        <v>20</v>
      </c>
      <c r="F259" s="14">
        <v>14180</v>
      </c>
      <c r="G259" s="14">
        <v>283600</v>
      </c>
    </row>
    <row r="260" spans="1:7" x14ac:dyDescent="0.2">
      <c r="A260">
        <v>276</v>
      </c>
      <c r="B260" s="13">
        <v>46205</v>
      </c>
      <c r="C260" t="s">
        <v>32</v>
      </c>
      <c r="D260" t="s">
        <v>42</v>
      </c>
      <c r="E260">
        <v>40</v>
      </c>
      <c r="F260" s="14">
        <v>4050</v>
      </c>
      <c r="G260" s="14">
        <v>162000</v>
      </c>
    </row>
    <row r="261" spans="1:7" x14ac:dyDescent="0.2">
      <c r="A261">
        <v>278</v>
      </c>
      <c r="B261" s="13">
        <v>46205</v>
      </c>
      <c r="C261" t="s">
        <v>38</v>
      </c>
      <c r="D261" t="s">
        <v>43</v>
      </c>
      <c r="E261">
        <v>21</v>
      </c>
      <c r="F261" s="14">
        <v>4860</v>
      </c>
      <c r="G261" s="14">
        <v>102060</v>
      </c>
    </row>
    <row r="262" spans="1:7" x14ac:dyDescent="0.2">
      <c r="A262">
        <v>279</v>
      </c>
      <c r="B262" s="13">
        <v>46206</v>
      </c>
      <c r="C262" t="s">
        <v>32</v>
      </c>
      <c r="D262" t="s">
        <v>51</v>
      </c>
      <c r="E262">
        <v>36</v>
      </c>
      <c r="F262" s="14">
        <v>15160</v>
      </c>
      <c r="G262" s="14">
        <v>545760</v>
      </c>
    </row>
    <row r="263" spans="1:7" x14ac:dyDescent="0.2">
      <c r="A263">
        <v>280</v>
      </c>
      <c r="B263" s="13">
        <v>46206</v>
      </c>
      <c r="C263" t="s">
        <v>45</v>
      </c>
      <c r="D263" t="s">
        <v>35</v>
      </c>
      <c r="E263">
        <v>38</v>
      </c>
      <c r="F263" s="14">
        <v>3260</v>
      </c>
      <c r="G263" s="14">
        <v>123880</v>
      </c>
    </row>
    <row r="264" spans="1:7" x14ac:dyDescent="0.2">
      <c r="A264">
        <v>281</v>
      </c>
      <c r="B264" s="13">
        <v>46206</v>
      </c>
      <c r="C264" t="s">
        <v>49</v>
      </c>
      <c r="D264" t="s">
        <v>42</v>
      </c>
      <c r="E264">
        <v>32</v>
      </c>
      <c r="F264" s="14">
        <v>4490</v>
      </c>
      <c r="G264" s="14">
        <v>143680</v>
      </c>
    </row>
    <row r="265" spans="1:7" x14ac:dyDescent="0.2">
      <c r="A265">
        <v>282</v>
      </c>
      <c r="B265" s="13">
        <v>46207</v>
      </c>
      <c r="C265" t="s">
        <v>32</v>
      </c>
      <c r="D265" t="s">
        <v>35</v>
      </c>
      <c r="E265">
        <v>10</v>
      </c>
      <c r="F265" s="14">
        <v>3070</v>
      </c>
      <c r="G265" s="14">
        <v>30700</v>
      </c>
    </row>
    <row r="266" spans="1:7" x14ac:dyDescent="0.2">
      <c r="A266">
        <v>283</v>
      </c>
      <c r="B266" s="13">
        <v>46208</v>
      </c>
      <c r="C266" t="s">
        <v>36</v>
      </c>
      <c r="D266" t="s">
        <v>33</v>
      </c>
      <c r="E266">
        <v>30</v>
      </c>
      <c r="F266" s="14">
        <v>18280</v>
      </c>
      <c r="G266" s="14">
        <v>548400</v>
      </c>
    </row>
    <row r="267" spans="1:7" x14ac:dyDescent="0.2">
      <c r="A267">
        <v>284</v>
      </c>
      <c r="B267" s="13">
        <v>46209</v>
      </c>
      <c r="C267" t="s">
        <v>32</v>
      </c>
      <c r="D267" t="s">
        <v>40</v>
      </c>
      <c r="E267">
        <v>38</v>
      </c>
      <c r="F267" s="14">
        <v>5240</v>
      </c>
      <c r="G267" s="14">
        <v>199120</v>
      </c>
    </row>
    <row r="268" spans="1:7" x14ac:dyDescent="0.2">
      <c r="A268">
        <v>285</v>
      </c>
      <c r="B268" s="13">
        <v>46210</v>
      </c>
      <c r="C268" t="s">
        <v>32</v>
      </c>
      <c r="D268" t="s">
        <v>40</v>
      </c>
      <c r="E268">
        <v>1</v>
      </c>
      <c r="F268" s="14">
        <v>5550</v>
      </c>
      <c r="G268" s="14">
        <v>5550</v>
      </c>
    </row>
    <row r="269" spans="1:7" x14ac:dyDescent="0.2">
      <c r="A269">
        <v>286</v>
      </c>
      <c r="B269" s="13">
        <v>46211</v>
      </c>
      <c r="C269" t="s">
        <v>47</v>
      </c>
      <c r="D269" t="s">
        <v>51</v>
      </c>
      <c r="E269">
        <v>28</v>
      </c>
      <c r="F269" s="14">
        <v>15530</v>
      </c>
      <c r="G269" s="14">
        <v>434840</v>
      </c>
    </row>
    <row r="270" spans="1:7" x14ac:dyDescent="0.2">
      <c r="A270">
        <v>287</v>
      </c>
      <c r="B270" s="13">
        <v>46212</v>
      </c>
      <c r="C270" t="s">
        <v>36</v>
      </c>
      <c r="D270" t="s">
        <v>35</v>
      </c>
      <c r="E270">
        <v>11</v>
      </c>
      <c r="F270" s="14">
        <v>3240</v>
      </c>
      <c r="G270" s="14">
        <v>35640</v>
      </c>
    </row>
    <row r="271" spans="1:7" x14ac:dyDescent="0.2">
      <c r="A271">
        <v>288</v>
      </c>
      <c r="B271" s="13">
        <v>46214</v>
      </c>
      <c r="C271" t="s">
        <v>45</v>
      </c>
      <c r="D271" t="s">
        <v>35</v>
      </c>
      <c r="E271">
        <v>19</v>
      </c>
      <c r="F271" s="14">
        <v>3020</v>
      </c>
      <c r="G271" s="14">
        <v>57380</v>
      </c>
    </row>
    <row r="272" spans="1:7" x14ac:dyDescent="0.2">
      <c r="A272">
        <v>289</v>
      </c>
      <c r="B272" s="13">
        <v>46214</v>
      </c>
      <c r="C272" t="s">
        <v>32</v>
      </c>
      <c r="D272" t="s">
        <v>35</v>
      </c>
      <c r="E272">
        <v>30</v>
      </c>
      <c r="F272" s="14">
        <v>3120</v>
      </c>
      <c r="G272" s="14">
        <v>93600</v>
      </c>
    </row>
    <row r="273" spans="1:7" x14ac:dyDescent="0.2">
      <c r="A273">
        <v>291</v>
      </c>
      <c r="B273" s="13">
        <v>46217</v>
      </c>
      <c r="C273" t="s">
        <v>32</v>
      </c>
      <c r="D273" t="s">
        <v>35</v>
      </c>
      <c r="E273">
        <v>39</v>
      </c>
      <c r="F273" s="14">
        <v>3240</v>
      </c>
      <c r="G273" s="14">
        <v>126360</v>
      </c>
    </row>
    <row r="274" spans="1:7" x14ac:dyDescent="0.2">
      <c r="A274">
        <v>292</v>
      </c>
      <c r="B274" s="13">
        <v>46217</v>
      </c>
      <c r="C274" t="s">
        <v>32</v>
      </c>
      <c r="D274" t="s">
        <v>33</v>
      </c>
      <c r="E274">
        <v>18</v>
      </c>
      <c r="F274" s="14">
        <v>18310</v>
      </c>
      <c r="G274" s="14">
        <v>329580</v>
      </c>
    </row>
    <row r="275" spans="1:7" x14ac:dyDescent="0.2">
      <c r="A275">
        <v>293</v>
      </c>
      <c r="B275" s="13">
        <v>46218</v>
      </c>
      <c r="C275" t="s">
        <v>49</v>
      </c>
      <c r="D275" t="s">
        <v>35</v>
      </c>
      <c r="E275">
        <v>21</v>
      </c>
      <c r="F275" s="14">
        <v>2970</v>
      </c>
      <c r="G275" s="14">
        <v>62370</v>
      </c>
    </row>
    <row r="276" spans="1:7" x14ac:dyDescent="0.2">
      <c r="A276">
        <v>294</v>
      </c>
      <c r="B276" s="13">
        <v>46218</v>
      </c>
      <c r="C276" t="s">
        <v>45</v>
      </c>
      <c r="D276" t="s">
        <v>37</v>
      </c>
      <c r="E276">
        <v>10</v>
      </c>
      <c r="F276" s="14">
        <v>3420</v>
      </c>
      <c r="G276" s="14">
        <v>34200</v>
      </c>
    </row>
    <row r="277" spans="1:7" x14ac:dyDescent="0.2">
      <c r="A277">
        <v>295</v>
      </c>
      <c r="B277" s="13">
        <v>46219</v>
      </c>
      <c r="C277" t="s">
        <v>34</v>
      </c>
      <c r="D277" t="s">
        <v>40</v>
      </c>
      <c r="E277">
        <v>31</v>
      </c>
      <c r="F277" s="14">
        <v>5900</v>
      </c>
      <c r="G277" s="14">
        <v>182900</v>
      </c>
    </row>
    <row r="278" spans="1:7" x14ac:dyDescent="0.2">
      <c r="A278">
        <v>296</v>
      </c>
      <c r="B278" s="13">
        <v>46219</v>
      </c>
      <c r="C278" t="s">
        <v>46</v>
      </c>
      <c r="D278" t="s">
        <v>44</v>
      </c>
      <c r="E278">
        <v>17</v>
      </c>
      <c r="F278" s="14">
        <v>3650</v>
      </c>
      <c r="G278" s="14">
        <v>62050</v>
      </c>
    </row>
    <row r="279" spans="1:7" x14ac:dyDescent="0.2">
      <c r="A279">
        <v>297</v>
      </c>
      <c r="B279" s="13">
        <v>46220</v>
      </c>
      <c r="C279" t="s">
        <v>36</v>
      </c>
      <c r="D279" t="s">
        <v>37</v>
      </c>
      <c r="E279">
        <v>13</v>
      </c>
      <c r="F279" s="14">
        <v>3820</v>
      </c>
      <c r="G279" s="14">
        <v>49660</v>
      </c>
    </row>
    <row r="280" spans="1:7" x14ac:dyDescent="0.2">
      <c r="A280">
        <v>298</v>
      </c>
      <c r="B280" s="13">
        <v>46220</v>
      </c>
      <c r="C280" t="s">
        <v>32</v>
      </c>
      <c r="D280" t="s">
        <v>35</v>
      </c>
      <c r="E280">
        <v>23</v>
      </c>
      <c r="F280" s="14">
        <v>3270</v>
      </c>
      <c r="G280" s="14">
        <v>75210</v>
      </c>
    </row>
    <row r="281" spans="1:7" x14ac:dyDescent="0.2">
      <c r="A281">
        <v>299</v>
      </c>
      <c r="B281" s="13">
        <v>46220</v>
      </c>
      <c r="C281" t="s">
        <v>32</v>
      </c>
      <c r="D281" t="s">
        <v>39</v>
      </c>
      <c r="E281">
        <v>18</v>
      </c>
      <c r="F281" s="14">
        <v>2880</v>
      </c>
      <c r="G281" s="14">
        <v>51840</v>
      </c>
    </row>
    <row r="282" spans="1:7" x14ac:dyDescent="0.2">
      <c r="A282">
        <v>300</v>
      </c>
      <c r="B282" s="13">
        <v>46222</v>
      </c>
      <c r="C282" t="s">
        <v>46</v>
      </c>
      <c r="D282" t="s">
        <v>33</v>
      </c>
      <c r="E282">
        <v>9</v>
      </c>
      <c r="F282" s="14">
        <v>19250</v>
      </c>
      <c r="G282" s="14">
        <v>173250</v>
      </c>
    </row>
    <row r="283" spans="1:7" x14ac:dyDescent="0.2">
      <c r="A283">
        <v>301</v>
      </c>
      <c r="B283" s="13">
        <v>46222</v>
      </c>
      <c r="C283" t="s">
        <v>32</v>
      </c>
      <c r="D283" t="s">
        <v>42</v>
      </c>
      <c r="E283">
        <v>11</v>
      </c>
      <c r="F283" s="14">
        <v>4460</v>
      </c>
      <c r="G283" s="14">
        <v>49060</v>
      </c>
    </row>
    <row r="284" spans="1:7" x14ac:dyDescent="0.2">
      <c r="A284">
        <v>302</v>
      </c>
      <c r="B284" s="13">
        <v>46222</v>
      </c>
      <c r="C284" t="s">
        <v>38</v>
      </c>
      <c r="D284" t="s">
        <v>48</v>
      </c>
      <c r="E284">
        <v>20</v>
      </c>
      <c r="F284" s="14">
        <v>1890</v>
      </c>
      <c r="G284" s="14">
        <v>37800</v>
      </c>
    </row>
    <row r="285" spans="1:7" x14ac:dyDescent="0.2">
      <c r="A285">
        <v>303</v>
      </c>
      <c r="B285" s="13">
        <v>46222</v>
      </c>
      <c r="C285" t="s">
        <v>32</v>
      </c>
      <c r="D285" t="s">
        <v>35</v>
      </c>
      <c r="E285">
        <v>8</v>
      </c>
      <c r="F285" s="14">
        <v>3400</v>
      </c>
      <c r="G285" s="14">
        <v>27200</v>
      </c>
    </row>
    <row r="286" spans="1:7" x14ac:dyDescent="0.2">
      <c r="A286">
        <v>304</v>
      </c>
      <c r="B286" s="13">
        <v>46224</v>
      </c>
      <c r="C286" t="s">
        <v>32</v>
      </c>
      <c r="D286" t="s">
        <v>48</v>
      </c>
      <c r="E286">
        <v>29</v>
      </c>
      <c r="F286" s="14">
        <v>1930</v>
      </c>
      <c r="G286" s="14">
        <v>55970</v>
      </c>
    </row>
    <row r="287" spans="1:7" x14ac:dyDescent="0.2">
      <c r="A287">
        <v>305</v>
      </c>
      <c r="B287" s="13">
        <v>46226</v>
      </c>
      <c r="C287" t="s">
        <v>41</v>
      </c>
      <c r="D287" t="s">
        <v>40</v>
      </c>
      <c r="E287">
        <v>3</v>
      </c>
      <c r="F287" s="14">
        <v>5330</v>
      </c>
      <c r="G287" s="14">
        <v>15990</v>
      </c>
    </row>
    <row r="288" spans="1:7" x14ac:dyDescent="0.2">
      <c r="A288">
        <v>307</v>
      </c>
      <c r="B288" s="13">
        <v>46227</v>
      </c>
      <c r="C288" t="s">
        <v>50</v>
      </c>
      <c r="D288" t="s">
        <v>42</v>
      </c>
      <c r="E288">
        <v>24</v>
      </c>
      <c r="F288" s="14">
        <v>4680</v>
      </c>
      <c r="G288" s="14">
        <v>112320</v>
      </c>
    </row>
    <row r="289" spans="1:7" x14ac:dyDescent="0.2">
      <c r="A289">
        <v>308</v>
      </c>
      <c r="B289" s="13">
        <v>46229</v>
      </c>
      <c r="C289" t="s">
        <v>34</v>
      </c>
      <c r="D289" t="s">
        <v>48</v>
      </c>
      <c r="E289">
        <v>15</v>
      </c>
      <c r="F289" s="14">
        <v>1680</v>
      </c>
      <c r="G289" s="14">
        <v>25200</v>
      </c>
    </row>
    <row r="290" spans="1:7" x14ac:dyDescent="0.2">
      <c r="A290">
        <v>309</v>
      </c>
      <c r="B290" s="13">
        <v>46230</v>
      </c>
      <c r="C290" t="s">
        <v>45</v>
      </c>
      <c r="D290" t="s">
        <v>39</v>
      </c>
      <c r="E290">
        <v>39</v>
      </c>
      <c r="F290" s="14">
        <v>2630</v>
      </c>
      <c r="G290" s="14">
        <v>102570</v>
      </c>
    </row>
    <row r="291" spans="1:7" x14ac:dyDescent="0.2">
      <c r="A291">
        <v>310</v>
      </c>
      <c r="B291" s="13">
        <v>46230</v>
      </c>
      <c r="C291" t="s">
        <v>36</v>
      </c>
      <c r="D291" t="s">
        <v>51</v>
      </c>
      <c r="E291">
        <v>8</v>
      </c>
      <c r="F291" s="14">
        <v>15290</v>
      </c>
      <c r="G291" s="14">
        <v>122320</v>
      </c>
    </row>
    <row r="292" spans="1:7" x14ac:dyDescent="0.2">
      <c r="A292">
        <v>311</v>
      </c>
      <c r="B292" s="13">
        <v>46230</v>
      </c>
      <c r="C292" t="s">
        <v>34</v>
      </c>
      <c r="D292" t="s">
        <v>43</v>
      </c>
      <c r="E292">
        <v>38</v>
      </c>
      <c r="F292" s="14">
        <v>5330</v>
      </c>
      <c r="G292" s="14">
        <v>202540</v>
      </c>
    </row>
    <row r="293" spans="1:7" x14ac:dyDescent="0.2">
      <c r="A293">
        <v>312</v>
      </c>
      <c r="B293" s="13">
        <v>46230</v>
      </c>
      <c r="C293" t="s">
        <v>36</v>
      </c>
      <c r="D293" t="s">
        <v>48</v>
      </c>
      <c r="E293">
        <v>4</v>
      </c>
      <c r="F293" s="14">
        <v>1870</v>
      </c>
      <c r="G293" s="14">
        <v>7480</v>
      </c>
    </row>
    <row r="294" spans="1:7" x14ac:dyDescent="0.2">
      <c r="A294">
        <v>313</v>
      </c>
      <c r="B294" s="13">
        <v>46231</v>
      </c>
      <c r="C294" t="s">
        <v>32</v>
      </c>
      <c r="D294" t="s">
        <v>39</v>
      </c>
      <c r="E294">
        <v>28</v>
      </c>
      <c r="F294" s="14">
        <v>2690</v>
      </c>
      <c r="G294" s="14">
        <v>75320</v>
      </c>
    </row>
    <row r="295" spans="1:7" x14ac:dyDescent="0.2">
      <c r="A295">
        <v>314</v>
      </c>
      <c r="B295" s="13">
        <v>46231</v>
      </c>
      <c r="C295" t="s">
        <v>50</v>
      </c>
      <c r="D295" t="s">
        <v>33</v>
      </c>
      <c r="E295">
        <v>34</v>
      </c>
      <c r="F295" s="14">
        <v>18690</v>
      </c>
      <c r="G295" s="14">
        <v>635460</v>
      </c>
    </row>
    <row r="296" spans="1:7" x14ac:dyDescent="0.2">
      <c r="A296">
        <v>315</v>
      </c>
      <c r="B296" s="13">
        <v>46232</v>
      </c>
      <c r="C296" t="s">
        <v>50</v>
      </c>
      <c r="D296" t="s">
        <v>35</v>
      </c>
      <c r="E296">
        <v>29</v>
      </c>
      <c r="F296" s="14">
        <v>3440</v>
      </c>
      <c r="G296" s="14">
        <v>99760</v>
      </c>
    </row>
    <row r="297" spans="1:7" x14ac:dyDescent="0.2">
      <c r="A297">
        <v>316</v>
      </c>
      <c r="B297" s="13">
        <v>46233</v>
      </c>
      <c r="C297" t="s">
        <v>45</v>
      </c>
      <c r="D297" t="s">
        <v>37</v>
      </c>
      <c r="E297">
        <v>21</v>
      </c>
      <c r="F297" s="14">
        <v>3450</v>
      </c>
      <c r="G297" s="14">
        <v>72450</v>
      </c>
    </row>
    <row r="298" spans="1:7" x14ac:dyDescent="0.2">
      <c r="A298">
        <v>317</v>
      </c>
      <c r="B298" s="13">
        <v>46234</v>
      </c>
      <c r="C298" t="s">
        <v>47</v>
      </c>
      <c r="D298" t="s">
        <v>51</v>
      </c>
      <c r="E298">
        <v>18</v>
      </c>
      <c r="F298" s="14">
        <v>15490</v>
      </c>
      <c r="G298" s="14">
        <v>278820</v>
      </c>
    </row>
    <row r="299" spans="1:7" x14ac:dyDescent="0.2">
      <c r="A299">
        <v>318</v>
      </c>
      <c r="B299" s="13">
        <v>46234</v>
      </c>
      <c r="C299" t="s">
        <v>32</v>
      </c>
      <c r="D299" t="s">
        <v>37</v>
      </c>
      <c r="E299">
        <v>1</v>
      </c>
      <c r="F299" s="14">
        <v>3880</v>
      </c>
      <c r="G299" s="14">
        <v>3880</v>
      </c>
    </row>
    <row r="300" spans="1:7" x14ac:dyDescent="0.2">
      <c r="A300">
        <v>319</v>
      </c>
      <c r="B300" s="13">
        <v>46234</v>
      </c>
      <c r="C300" t="s">
        <v>49</v>
      </c>
      <c r="D300" t="s">
        <v>40</v>
      </c>
      <c r="E300">
        <v>29</v>
      </c>
      <c r="F300" s="14">
        <v>5700</v>
      </c>
      <c r="G300" s="14">
        <v>165300</v>
      </c>
    </row>
    <row r="301" spans="1:7" x14ac:dyDescent="0.2">
      <c r="A301">
        <v>320</v>
      </c>
      <c r="B301" s="13">
        <v>46235</v>
      </c>
      <c r="C301" t="s">
        <v>47</v>
      </c>
      <c r="D301" t="s">
        <v>39</v>
      </c>
      <c r="E301">
        <v>24</v>
      </c>
      <c r="F301" s="14">
        <v>2670</v>
      </c>
      <c r="G301" s="14">
        <v>64080</v>
      </c>
    </row>
    <row r="302" spans="1:7" x14ac:dyDescent="0.2">
      <c r="A302">
        <v>321</v>
      </c>
      <c r="B302" s="13">
        <v>46236</v>
      </c>
      <c r="C302" t="s">
        <v>46</v>
      </c>
      <c r="D302" t="s">
        <v>40</v>
      </c>
      <c r="E302">
        <v>38</v>
      </c>
      <c r="F302" s="14">
        <v>5610</v>
      </c>
      <c r="G302" s="14">
        <v>213180</v>
      </c>
    </row>
    <row r="303" spans="1:7" x14ac:dyDescent="0.2">
      <c r="A303">
        <v>322</v>
      </c>
      <c r="B303" s="13">
        <v>46236</v>
      </c>
      <c r="C303" t="s">
        <v>49</v>
      </c>
      <c r="D303" t="s">
        <v>43</v>
      </c>
      <c r="E303">
        <v>13</v>
      </c>
      <c r="F303" s="14">
        <v>4950</v>
      </c>
      <c r="G303" s="14">
        <v>64350</v>
      </c>
    </row>
    <row r="304" spans="1:7" x14ac:dyDescent="0.2">
      <c r="A304">
        <v>323</v>
      </c>
      <c r="B304" s="13">
        <v>46237</v>
      </c>
      <c r="C304" t="s">
        <v>45</v>
      </c>
      <c r="D304" t="s">
        <v>39</v>
      </c>
      <c r="E304">
        <v>1</v>
      </c>
      <c r="F304" s="14">
        <v>2490</v>
      </c>
      <c r="G304" s="14">
        <v>2490</v>
      </c>
    </row>
    <row r="305" spans="1:7" x14ac:dyDescent="0.2">
      <c r="A305">
        <v>324</v>
      </c>
      <c r="B305" s="13">
        <v>46238</v>
      </c>
      <c r="C305" t="s">
        <v>47</v>
      </c>
      <c r="D305" t="s">
        <v>40</v>
      </c>
      <c r="E305">
        <v>36</v>
      </c>
      <c r="F305" s="14">
        <v>5840</v>
      </c>
      <c r="G305" s="14">
        <v>210240</v>
      </c>
    </row>
    <row r="306" spans="1:7" x14ac:dyDescent="0.2">
      <c r="A306">
        <v>325</v>
      </c>
      <c r="B306" s="13">
        <v>46239</v>
      </c>
      <c r="C306" t="s">
        <v>32</v>
      </c>
      <c r="D306" t="s">
        <v>51</v>
      </c>
      <c r="E306">
        <v>25</v>
      </c>
      <c r="F306" s="14">
        <v>14210</v>
      </c>
      <c r="G306" s="14">
        <v>355250</v>
      </c>
    </row>
    <row r="307" spans="1:7" x14ac:dyDescent="0.2">
      <c r="A307">
        <v>326</v>
      </c>
      <c r="B307" s="13">
        <v>46239</v>
      </c>
      <c r="C307" t="s">
        <v>38</v>
      </c>
      <c r="D307" t="s">
        <v>44</v>
      </c>
      <c r="E307">
        <v>14</v>
      </c>
      <c r="F307" s="14">
        <v>3830</v>
      </c>
      <c r="G307" s="14">
        <v>53620</v>
      </c>
    </row>
    <row r="308" spans="1:7" x14ac:dyDescent="0.2">
      <c r="A308">
        <v>327</v>
      </c>
      <c r="B308" s="13">
        <v>46240</v>
      </c>
      <c r="C308" t="s">
        <v>38</v>
      </c>
      <c r="D308" t="s">
        <v>51</v>
      </c>
      <c r="E308">
        <v>36</v>
      </c>
      <c r="F308" s="14">
        <v>14420</v>
      </c>
      <c r="G308" s="14">
        <v>519120</v>
      </c>
    </row>
    <row r="309" spans="1:7" x14ac:dyDescent="0.2">
      <c r="A309">
        <v>328</v>
      </c>
      <c r="B309" s="13">
        <v>46240</v>
      </c>
      <c r="C309" t="s">
        <v>47</v>
      </c>
      <c r="D309" t="s">
        <v>40</v>
      </c>
      <c r="E309">
        <v>29</v>
      </c>
      <c r="F309" s="14">
        <v>5660</v>
      </c>
      <c r="G309" s="14">
        <v>164140</v>
      </c>
    </row>
    <row r="310" spans="1:7" x14ac:dyDescent="0.2">
      <c r="A310">
        <v>329</v>
      </c>
      <c r="B310" s="13">
        <v>46241</v>
      </c>
      <c r="C310" t="s">
        <v>41</v>
      </c>
      <c r="D310" t="s">
        <v>40</v>
      </c>
      <c r="E310">
        <v>31</v>
      </c>
      <c r="F310" s="14">
        <v>5920</v>
      </c>
      <c r="G310" s="14">
        <v>183520</v>
      </c>
    </row>
    <row r="311" spans="1:7" x14ac:dyDescent="0.2">
      <c r="A311">
        <v>330</v>
      </c>
      <c r="B311" s="13">
        <v>46242</v>
      </c>
      <c r="C311" t="s">
        <v>34</v>
      </c>
      <c r="D311" t="s">
        <v>33</v>
      </c>
      <c r="E311">
        <v>6</v>
      </c>
      <c r="F311" s="14">
        <v>20320</v>
      </c>
      <c r="G311" s="14">
        <v>121920</v>
      </c>
    </row>
    <row r="312" spans="1:7" x14ac:dyDescent="0.2">
      <c r="A312">
        <v>331</v>
      </c>
      <c r="B312" s="13">
        <v>46242</v>
      </c>
      <c r="C312" t="s">
        <v>50</v>
      </c>
      <c r="D312" t="s">
        <v>43</v>
      </c>
      <c r="E312">
        <v>30</v>
      </c>
      <c r="F312" s="14">
        <v>4860</v>
      </c>
      <c r="G312" s="14">
        <v>145800</v>
      </c>
    </row>
    <row r="313" spans="1:7" x14ac:dyDescent="0.2">
      <c r="A313">
        <v>332</v>
      </c>
      <c r="B313" s="13">
        <v>46242</v>
      </c>
      <c r="C313" t="s">
        <v>45</v>
      </c>
      <c r="D313" t="s">
        <v>42</v>
      </c>
      <c r="E313">
        <v>13</v>
      </c>
      <c r="F313" s="14">
        <v>4560</v>
      </c>
      <c r="G313" s="14">
        <v>59280</v>
      </c>
    </row>
    <row r="314" spans="1:7" x14ac:dyDescent="0.2">
      <c r="A314">
        <v>333</v>
      </c>
      <c r="B314" s="13">
        <v>46244</v>
      </c>
      <c r="C314" t="s">
        <v>41</v>
      </c>
      <c r="D314" t="s">
        <v>42</v>
      </c>
      <c r="E314">
        <v>31</v>
      </c>
      <c r="F314" s="14">
        <v>4680</v>
      </c>
      <c r="G314" s="14">
        <v>145080</v>
      </c>
    </row>
    <row r="315" spans="1:7" x14ac:dyDescent="0.2">
      <c r="A315">
        <v>334</v>
      </c>
      <c r="B315" s="13">
        <v>46244</v>
      </c>
      <c r="C315" t="s">
        <v>50</v>
      </c>
      <c r="D315" t="s">
        <v>48</v>
      </c>
      <c r="E315">
        <v>3</v>
      </c>
      <c r="F315" s="14">
        <v>1820</v>
      </c>
      <c r="G315" s="14">
        <v>5460</v>
      </c>
    </row>
    <row r="316" spans="1:7" x14ac:dyDescent="0.2">
      <c r="A316">
        <v>335</v>
      </c>
      <c r="B316" s="13">
        <v>46244</v>
      </c>
      <c r="C316" t="s">
        <v>46</v>
      </c>
      <c r="D316" t="s">
        <v>48</v>
      </c>
      <c r="E316">
        <v>25</v>
      </c>
      <c r="F316" s="14">
        <v>1900</v>
      </c>
      <c r="G316" s="14">
        <v>47500</v>
      </c>
    </row>
    <row r="317" spans="1:7" x14ac:dyDescent="0.2">
      <c r="A317">
        <v>336</v>
      </c>
      <c r="B317" s="13">
        <v>46245</v>
      </c>
      <c r="C317" t="s">
        <v>34</v>
      </c>
      <c r="D317" t="s">
        <v>44</v>
      </c>
      <c r="E317">
        <v>39</v>
      </c>
      <c r="F317" s="14">
        <v>3650</v>
      </c>
      <c r="G317" s="14">
        <v>142350</v>
      </c>
    </row>
    <row r="318" spans="1:7" x14ac:dyDescent="0.2">
      <c r="A318">
        <v>337</v>
      </c>
      <c r="B318" s="13">
        <v>46246</v>
      </c>
      <c r="C318" t="s">
        <v>49</v>
      </c>
      <c r="D318" t="s">
        <v>48</v>
      </c>
      <c r="E318">
        <v>22</v>
      </c>
      <c r="F318" s="14">
        <v>1860</v>
      </c>
      <c r="G318" s="14">
        <v>40920</v>
      </c>
    </row>
    <row r="319" spans="1:7" x14ac:dyDescent="0.2">
      <c r="A319">
        <v>338</v>
      </c>
      <c r="B319" s="13">
        <v>46247</v>
      </c>
      <c r="C319" t="s">
        <v>46</v>
      </c>
      <c r="D319" t="s">
        <v>35</v>
      </c>
      <c r="E319">
        <v>40</v>
      </c>
      <c r="F319" s="14">
        <v>3030</v>
      </c>
      <c r="G319" s="14">
        <v>121200</v>
      </c>
    </row>
    <row r="320" spans="1:7" x14ac:dyDescent="0.2">
      <c r="A320">
        <v>339</v>
      </c>
      <c r="B320" s="13">
        <v>46247</v>
      </c>
      <c r="C320" t="s">
        <v>41</v>
      </c>
      <c r="D320" t="s">
        <v>48</v>
      </c>
      <c r="E320">
        <v>26</v>
      </c>
      <c r="F320" s="14">
        <v>1700</v>
      </c>
      <c r="G320" s="14">
        <v>44200</v>
      </c>
    </row>
    <row r="321" spans="1:7" x14ac:dyDescent="0.2">
      <c r="A321">
        <v>340</v>
      </c>
      <c r="B321" s="13">
        <v>46248</v>
      </c>
      <c r="C321" t="s">
        <v>49</v>
      </c>
      <c r="D321" t="s">
        <v>44</v>
      </c>
      <c r="E321">
        <v>32</v>
      </c>
      <c r="F321" s="14">
        <v>3850</v>
      </c>
      <c r="G321" s="14">
        <v>123200</v>
      </c>
    </row>
    <row r="322" spans="1:7" x14ac:dyDescent="0.2">
      <c r="A322">
        <v>341</v>
      </c>
      <c r="B322" s="13">
        <v>46248</v>
      </c>
      <c r="C322" t="s">
        <v>50</v>
      </c>
      <c r="D322" t="s">
        <v>35</v>
      </c>
      <c r="E322">
        <v>36</v>
      </c>
      <c r="F322" s="14">
        <v>3430</v>
      </c>
      <c r="G322" s="14">
        <v>123480</v>
      </c>
    </row>
    <row r="323" spans="1:7" x14ac:dyDescent="0.2">
      <c r="A323">
        <v>342</v>
      </c>
      <c r="B323" s="13">
        <v>46248</v>
      </c>
      <c r="C323" t="s">
        <v>46</v>
      </c>
      <c r="D323" t="s">
        <v>33</v>
      </c>
      <c r="E323">
        <v>2</v>
      </c>
      <c r="F323" s="14">
        <v>18390</v>
      </c>
      <c r="G323" s="14">
        <v>36780</v>
      </c>
    </row>
    <row r="324" spans="1:7" x14ac:dyDescent="0.2">
      <c r="A324">
        <v>343</v>
      </c>
      <c r="B324" s="13">
        <v>46249</v>
      </c>
      <c r="C324" t="s">
        <v>45</v>
      </c>
      <c r="D324" t="s">
        <v>43</v>
      </c>
      <c r="E324">
        <v>34</v>
      </c>
      <c r="F324" s="14">
        <v>4850</v>
      </c>
      <c r="G324" s="14">
        <v>164900</v>
      </c>
    </row>
    <row r="325" spans="1:7" x14ac:dyDescent="0.2">
      <c r="A325">
        <v>344</v>
      </c>
      <c r="B325" s="13">
        <v>46249</v>
      </c>
      <c r="C325" t="s">
        <v>41</v>
      </c>
      <c r="D325" t="s">
        <v>39</v>
      </c>
      <c r="E325">
        <v>16</v>
      </c>
      <c r="F325" s="14">
        <v>2620</v>
      </c>
      <c r="G325" s="14">
        <v>41920</v>
      </c>
    </row>
    <row r="326" spans="1:7" x14ac:dyDescent="0.2">
      <c r="A326">
        <v>345</v>
      </c>
      <c r="B326" s="13">
        <v>46250</v>
      </c>
      <c r="C326" t="s">
        <v>46</v>
      </c>
      <c r="D326" t="s">
        <v>35</v>
      </c>
      <c r="E326">
        <v>1</v>
      </c>
      <c r="F326" s="14">
        <v>3440</v>
      </c>
      <c r="G326" s="14">
        <v>3440</v>
      </c>
    </row>
    <row r="327" spans="1:7" x14ac:dyDescent="0.2">
      <c r="A327">
        <v>346</v>
      </c>
      <c r="B327" s="13">
        <v>46250</v>
      </c>
      <c r="C327" t="s">
        <v>34</v>
      </c>
      <c r="D327" t="s">
        <v>40</v>
      </c>
      <c r="E327">
        <v>9</v>
      </c>
      <c r="F327" s="14">
        <v>5380</v>
      </c>
      <c r="G327" s="14">
        <v>48420</v>
      </c>
    </row>
    <row r="328" spans="1:7" x14ac:dyDescent="0.2">
      <c r="A328">
        <v>347</v>
      </c>
      <c r="B328" s="13">
        <v>46250</v>
      </c>
      <c r="C328" t="s">
        <v>45</v>
      </c>
      <c r="D328" t="s">
        <v>42</v>
      </c>
      <c r="E328">
        <v>34</v>
      </c>
      <c r="F328" s="14">
        <v>4630</v>
      </c>
      <c r="G328" s="14">
        <v>157420</v>
      </c>
    </row>
    <row r="329" spans="1:7" x14ac:dyDescent="0.2">
      <c r="A329">
        <v>348</v>
      </c>
      <c r="B329" s="13">
        <v>46253</v>
      </c>
      <c r="C329" t="s">
        <v>47</v>
      </c>
      <c r="D329" t="s">
        <v>35</v>
      </c>
      <c r="E329">
        <v>10</v>
      </c>
      <c r="F329" s="14">
        <v>3320</v>
      </c>
      <c r="G329" s="14">
        <v>33200</v>
      </c>
    </row>
    <row r="330" spans="1:7" x14ac:dyDescent="0.2">
      <c r="A330">
        <v>349</v>
      </c>
      <c r="B330" s="13">
        <v>46254</v>
      </c>
      <c r="C330" t="s">
        <v>50</v>
      </c>
      <c r="D330" t="s">
        <v>40</v>
      </c>
      <c r="E330">
        <v>35</v>
      </c>
      <c r="F330" s="14">
        <v>5520</v>
      </c>
      <c r="G330" s="14">
        <v>193200</v>
      </c>
    </row>
    <row r="331" spans="1:7" x14ac:dyDescent="0.2">
      <c r="A331">
        <v>350</v>
      </c>
      <c r="B331" s="13">
        <v>46255</v>
      </c>
      <c r="C331" t="s">
        <v>32</v>
      </c>
      <c r="D331" t="s">
        <v>35</v>
      </c>
      <c r="E331">
        <v>9</v>
      </c>
      <c r="F331" s="14">
        <v>3300</v>
      </c>
      <c r="G331" s="14">
        <v>29700</v>
      </c>
    </row>
    <row r="332" spans="1:7" x14ac:dyDescent="0.2">
      <c r="A332">
        <v>351</v>
      </c>
      <c r="B332" s="13">
        <v>46255</v>
      </c>
      <c r="C332" t="s">
        <v>45</v>
      </c>
      <c r="D332" t="s">
        <v>51</v>
      </c>
      <c r="E332">
        <v>6</v>
      </c>
      <c r="F332" s="14">
        <v>13610</v>
      </c>
      <c r="G332" s="14">
        <v>81660</v>
      </c>
    </row>
    <row r="333" spans="1:7" x14ac:dyDescent="0.2">
      <c r="A333">
        <v>352</v>
      </c>
      <c r="B333" s="13">
        <v>46255</v>
      </c>
      <c r="C333" t="s">
        <v>32</v>
      </c>
      <c r="D333" t="s">
        <v>51</v>
      </c>
      <c r="E333">
        <v>14</v>
      </c>
      <c r="F333" s="14">
        <v>15380</v>
      </c>
      <c r="G333" s="14">
        <v>215320</v>
      </c>
    </row>
    <row r="334" spans="1:7" x14ac:dyDescent="0.2">
      <c r="A334">
        <v>353</v>
      </c>
      <c r="B334" s="13">
        <v>46257</v>
      </c>
      <c r="C334" t="s">
        <v>50</v>
      </c>
      <c r="D334" t="s">
        <v>42</v>
      </c>
      <c r="E334">
        <v>12</v>
      </c>
      <c r="F334" s="14">
        <v>4170</v>
      </c>
      <c r="G334" s="14">
        <v>50040</v>
      </c>
    </row>
    <row r="335" spans="1:7" x14ac:dyDescent="0.2">
      <c r="A335">
        <v>354</v>
      </c>
      <c r="B335" s="13">
        <v>46258</v>
      </c>
      <c r="C335" t="s">
        <v>49</v>
      </c>
      <c r="D335" t="s">
        <v>48</v>
      </c>
      <c r="E335">
        <v>23</v>
      </c>
      <c r="F335" s="14">
        <v>1800</v>
      </c>
      <c r="G335" s="14">
        <v>41400</v>
      </c>
    </row>
    <row r="336" spans="1:7" x14ac:dyDescent="0.2">
      <c r="A336">
        <v>355</v>
      </c>
      <c r="B336" s="13">
        <v>46259</v>
      </c>
      <c r="C336" t="s">
        <v>50</v>
      </c>
      <c r="D336" t="s">
        <v>48</v>
      </c>
      <c r="E336">
        <v>23</v>
      </c>
      <c r="F336" s="14">
        <v>1910</v>
      </c>
      <c r="G336" s="14">
        <v>43930</v>
      </c>
    </row>
    <row r="337" spans="1:7" x14ac:dyDescent="0.2">
      <c r="A337">
        <v>356</v>
      </c>
      <c r="B337" s="13">
        <v>46259</v>
      </c>
      <c r="C337" t="s">
        <v>36</v>
      </c>
      <c r="D337" t="s">
        <v>44</v>
      </c>
      <c r="E337">
        <v>7</v>
      </c>
      <c r="F337" s="14">
        <v>4080</v>
      </c>
      <c r="G337" s="14">
        <v>28560</v>
      </c>
    </row>
    <row r="338" spans="1:7" x14ac:dyDescent="0.2">
      <c r="A338">
        <v>357</v>
      </c>
      <c r="B338" s="13">
        <v>46259</v>
      </c>
      <c r="C338" t="s">
        <v>50</v>
      </c>
      <c r="D338" t="s">
        <v>48</v>
      </c>
      <c r="E338">
        <v>33</v>
      </c>
      <c r="F338" s="14">
        <v>1750</v>
      </c>
      <c r="G338" s="14">
        <v>57750</v>
      </c>
    </row>
    <row r="339" spans="1:7" x14ac:dyDescent="0.2">
      <c r="A339">
        <v>358</v>
      </c>
      <c r="B339" s="13">
        <v>46259</v>
      </c>
      <c r="C339" t="s">
        <v>50</v>
      </c>
      <c r="D339" t="s">
        <v>44</v>
      </c>
      <c r="E339">
        <v>39</v>
      </c>
      <c r="F339" s="14">
        <v>4170</v>
      </c>
      <c r="G339" s="14">
        <v>162630</v>
      </c>
    </row>
    <row r="340" spans="1:7" x14ac:dyDescent="0.2">
      <c r="A340">
        <v>359</v>
      </c>
      <c r="B340" s="13">
        <v>46261</v>
      </c>
      <c r="C340" t="s">
        <v>50</v>
      </c>
      <c r="D340" t="s">
        <v>37</v>
      </c>
      <c r="E340">
        <v>40</v>
      </c>
      <c r="F340" s="14">
        <v>3350</v>
      </c>
      <c r="G340" s="14">
        <v>134000</v>
      </c>
    </row>
    <row r="341" spans="1:7" x14ac:dyDescent="0.2">
      <c r="A341">
        <v>360</v>
      </c>
      <c r="B341" s="13">
        <v>46261</v>
      </c>
      <c r="C341" t="s">
        <v>38</v>
      </c>
      <c r="D341" t="s">
        <v>42</v>
      </c>
      <c r="E341">
        <v>1</v>
      </c>
      <c r="F341" s="14">
        <v>4530</v>
      </c>
      <c r="G341" s="14">
        <v>4530</v>
      </c>
    </row>
    <row r="342" spans="1:7" x14ac:dyDescent="0.2">
      <c r="A342">
        <v>361</v>
      </c>
      <c r="B342" s="13">
        <v>46261</v>
      </c>
      <c r="C342" t="s">
        <v>32</v>
      </c>
      <c r="D342" t="s">
        <v>33</v>
      </c>
      <c r="E342">
        <v>11</v>
      </c>
      <c r="F342" s="14">
        <v>19710</v>
      </c>
      <c r="G342" s="14">
        <v>216810</v>
      </c>
    </row>
    <row r="343" spans="1:7" x14ac:dyDescent="0.2">
      <c r="A343">
        <v>362</v>
      </c>
      <c r="B343" s="13">
        <v>46261</v>
      </c>
      <c r="C343" t="s">
        <v>47</v>
      </c>
      <c r="D343" t="s">
        <v>43</v>
      </c>
      <c r="E343">
        <v>36</v>
      </c>
      <c r="F343" s="14">
        <v>5540</v>
      </c>
      <c r="G343" s="14">
        <v>199440</v>
      </c>
    </row>
    <row r="344" spans="1:7" x14ac:dyDescent="0.2">
      <c r="A344">
        <v>363</v>
      </c>
      <c r="B344" s="13">
        <v>46261</v>
      </c>
      <c r="C344" t="s">
        <v>41</v>
      </c>
      <c r="D344" t="s">
        <v>40</v>
      </c>
      <c r="E344">
        <v>39</v>
      </c>
      <c r="F344" s="14">
        <v>5790</v>
      </c>
      <c r="G344" s="14">
        <v>225810</v>
      </c>
    </row>
    <row r="345" spans="1:7" x14ac:dyDescent="0.2">
      <c r="A345">
        <v>364</v>
      </c>
      <c r="B345" s="13">
        <v>46261</v>
      </c>
      <c r="C345" t="s">
        <v>41</v>
      </c>
      <c r="D345" t="s">
        <v>43</v>
      </c>
      <c r="E345">
        <v>3</v>
      </c>
      <c r="F345" s="14">
        <v>4930</v>
      </c>
      <c r="G345" s="14">
        <v>14790</v>
      </c>
    </row>
    <row r="346" spans="1:7" x14ac:dyDescent="0.2">
      <c r="A346">
        <v>365</v>
      </c>
      <c r="B346" s="13">
        <v>46262</v>
      </c>
      <c r="C346" t="s">
        <v>46</v>
      </c>
      <c r="D346" t="s">
        <v>39</v>
      </c>
      <c r="E346">
        <v>12</v>
      </c>
      <c r="F346" s="14">
        <v>2770</v>
      </c>
      <c r="G346" s="14">
        <v>33240</v>
      </c>
    </row>
    <row r="347" spans="1:7" x14ac:dyDescent="0.2">
      <c r="A347">
        <v>366</v>
      </c>
      <c r="B347" s="13">
        <v>46262</v>
      </c>
      <c r="C347" t="s">
        <v>34</v>
      </c>
      <c r="D347" t="s">
        <v>33</v>
      </c>
      <c r="E347">
        <v>24</v>
      </c>
      <c r="F347" s="14">
        <v>20220</v>
      </c>
      <c r="G347" s="14">
        <v>485280</v>
      </c>
    </row>
    <row r="348" spans="1:7" x14ac:dyDescent="0.2">
      <c r="A348">
        <v>367</v>
      </c>
      <c r="B348" s="13">
        <v>46262</v>
      </c>
      <c r="C348" t="s">
        <v>49</v>
      </c>
      <c r="D348" t="s">
        <v>51</v>
      </c>
      <c r="E348">
        <v>10</v>
      </c>
      <c r="F348" s="14">
        <v>13370</v>
      </c>
      <c r="G348" s="14">
        <v>133700</v>
      </c>
    </row>
    <row r="349" spans="1:7" x14ac:dyDescent="0.2">
      <c r="A349">
        <v>368</v>
      </c>
      <c r="B349" s="13">
        <v>46263</v>
      </c>
      <c r="C349" t="s">
        <v>46</v>
      </c>
      <c r="D349" t="s">
        <v>48</v>
      </c>
      <c r="E349">
        <v>17</v>
      </c>
      <c r="F349" s="14">
        <v>1680</v>
      </c>
      <c r="G349" s="14">
        <v>28560</v>
      </c>
    </row>
    <row r="350" spans="1:7" x14ac:dyDescent="0.2">
      <c r="A350">
        <v>369</v>
      </c>
      <c r="B350" s="13">
        <v>46263</v>
      </c>
      <c r="C350" t="s">
        <v>36</v>
      </c>
      <c r="D350" t="s">
        <v>42</v>
      </c>
      <c r="E350">
        <v>34</v>
      </c>
      <c r="F350" s="14">
        <v>4100</v>
      </c>
      <c r="G350" s="14">
        <v>139400</v>
      </c>
    </row>
    <row r="351" spans="1:7" x14ac:dyDescent="0.2">
      <c r="A351">
        <v>370</v>
      </c>
      <c r="B351" s="13">
        <v>46265</v>
      </c>
      <c r="C351" t="s">
        <v>50</v>
      </c>
      <c r="D351" t="s">
        <v>40</v>
      </c>
      <c r="E351">
        <v>6</v>
      </c>
      <c r="F351" s="14">
        <v>5250</v>
      </c>
      <c r="G351" s="14">
        <v>31500</v>
      </c>
    </row>
    <row r="352" spans="1:7" x14ac:dyDescent="0.2">
      <c r="A352">
        <v>371</v>
      </c>
      <c r="B352" s="13">
        <v>46265</v>
      </c>
      <c r="C352" t="s">
        <v>49</v>
      </c>
      <c r="D352" t="s">
        <v>48</v>
      </c>
      <c r="E352">
        <v>24</v>
      </c>
      <c r="F352" s="14">
        <v>1710</v>
      </c>
      <c r="G352" s="14">
        <v>41040</v>
      </c>
    </row>
    <row r="353" spans="1:7" x14ac:dyDescent="0.2">
      <c r="A353">
        <v>372</v>
      </c>
      <c r="B353" s="13">
        <v>46266</v>
      </c>
      <c r="C353" t="s">
        <v>49</v>
      </c>
      <c r="D353" t="s">
        <v>40</v>
      </c>
      <c r="E353">
        <v>8</v>
      </c>
      <c r="F353" s="14">
        <v>5160</v>
      </c>
      <c r="G353" s="14">
        <v>41280</v>
      </c>
    </row>
    <row r="354" spans="1:7" x14ac:dyDescent="0.2">
      <c r="A354">
        <v>373</v>
      </c>
      <c r="B354" s="13">
        <v>46266</v>
      </c>
      <c r="C354" t="s">
        <v>49</v>
      </c>
      <c r="D354" t="s">
        <v>39</v>
      </c>
      <c r="E354">
        <v>3</v>
      </c>
      <c r="F354" s="14">
        <v>2880</v>
      </c>
      <c r="G354" s="14">
        <v>8640</v>
      </c>
    </row>
    <row r="355" spans="1:7" x14ac:dyDescent="0.2">
      <c r="A355">
        <v>374</v>
      </c>
      <c r="B355" s="13">
        <v>46266</v>
      </c>
      <c r="C355" t="s">
        <v>38</v>
      </c>
      <c r="D355" t="s">
        <v>42</v>
      </c>
      <c r="E355">
        <v>34</v>
      </c>
      <c r="F355" s="14">
        <v>4590</v>
      </c>
      <c r="G355" s="14">
        <v>156060</v>
      </c>
    </row>
    <row r="356" spans="1:7" x14ac:dyDescent="0.2">
      <c r="A356">
        <v>375</v>
      </c>
      <c r="B356" s="13">
        <v>46267</v>
      </c>
      <c r="C356" t="s">
        <v>34</v>
      </c>
      <c r="D356" t="s">
        <v>35</v>
      </c>
      <c r="E356">
        <v>39</v>
      </c>
      <c r="F356" s="14">
        <v>2990</v>
      </c>
      <c r="G356" s="14">
        <v>116610</v>
      </c>
    </row>
    <row r="357" spans="1:7" x14ac:dyDescent="0.2">
      <c r="A357">
        <v>376</v>
      </c>
      <c r="B357" s="13">
        <v>46268</v>
      </c>
      <c r="C357" t="s">
        <v>50</v>
      </c>
      <c r="D357" t="s">
        <v>39</v>
      </c>
      <c r="E357">
        <v>22</v>
      </c>
      <c r="F357" s="14">
        <v>2640</v>
      </c>
      <c r="G357" s="14">
        <v>58080</v>
      </c>
    </row>
    <row r="358" spans="1:7" x14ac:dyDescent="0.2">
      <c r="A358">
        <v>377</v>
      </c>
      <c r="B358" s="13">
        <v>46268</v>
      </c>
      <c r="C358" t="s">
        <v>47</v>
      </c>
      <c r="D358" t="s">
        <v>33</v>
      </c>
      <c r="E358">
        <v>35</v>
      </c>
      <c r="F358" s="14">
        <v>18970</v>
      </c>
      <c r="G358" s="14">
        <v>663950</v>
      </c>
    </row>
    <row r="359" spans="1:7" x14ac:dyDescent="0.2">
      <c r="A359">
        <v>378</v>
      </c>
      <c r="B359" s="13">
        <v>46269</v>
      </c>
      <c r="C359" t="s">
        <v>50</v>
      </c>
      <c r="D359" t="s">
        <v>35</v>
      </c>
      <c r="E359">
        <v>31</v>
      </c>
      <c r="F359" s="14">
        <v>3180</v>
      </c>
      <c r="G359" s="14">
        <v>98580</v>
      </c>
    </row>
    <row r="360" spans="1:7" x14ac:dyDescent="0.2">
      <c r="A360">
        <v>379</v>
      </c>
      <c r="B360" s="13">
        <v>46269</v>
      </c>
      <c r="C360" t="s">
        <v>50</v>
      </c>
      <c r="D360" t="s">
        <v>51</v>
      </c>
      <c r="E360">
        <v>28</v>
      </c>
      <c r="F360" s="14">
        <v>14430</v>
      </c>
      <c r="G360" s="14">
        <v>404040</v>
      </c>
    </row>
    <row r="361" spans="1:7" x14ac:dyDescent="0.2">
      <c r="A361">
        <v>380</v>
      </c>
      <c r="B361" s="13">
        <v>46269</v>
      </c>
      <c r="C361" t="s">
        <v>36</v>
      </c>
      <c r="D361" t="s">
        <v>48</v>
      </c>
      <c r="E361">
        <v>39</v>
      </c>
      <c r="F361" s="14">
        <v>1730</v>
      </c>
      <c r="G361" s="14">
        <v>67470</v>
      </c>
    </row>
    <row r="362" spans="1:7" x14ac:dyDescent="0.2">
      <c r="A362">
        <v>381</v>
      </c>
      <c r="B362" s="13">
        <v>46270</v>
      </c>
      <c r="C362" t="s">
        <v>49</v>
      </c>
      <c r="D362" t="s">
        <v>33</v>
      </c>
      <c r="E362">
        <v>8</v>
      </c>
      <c r="F362" s="14">
        <v>18110</v>
      </c>
      <c r="G362" s="14">
        <v>144880</v>
      </c>
    </row>
    <row r="363" spans="1:7" x14ac:dyDescent="0.2">
      <c r="A363">
        <v>382</v>
      </c>
      <c r="B363" s="13">
        <v>46270</v>
      </c>
      <c r="C363" t="s">
        <v>46</v>
      </c>
      <c r="D363" t="s">
        <v>33</v>
      </c>
      <c r="E363">
        <v>17</v>
      </c>
      <c r="F363" s="14">
        <v>18140</v>
      </c>
      <c r="G363" s="14">
        <v>308380</v>
      </c>
    </row>
    <row r="364" spans="1:7" x14ac:dyDescent="0.2">
      <c r="A364">
        <v>383</v>
      </c>
      <c r="B364" s="13">
        <v>46270</v>
      </c>
      <c r="C364" t="s">
        <v>36</v>
      </c>
      <c r="D364" t="s">
        <v>44</v>
      </c>
      <c r="E364">
        <v>3</v>
      </c>
      <c r="F364" s="14">
        <v>3720</v>
      </c>
      <c r="G364" s="14">
        <v>11160</v>
      </c>
    </row>
    <row r="365" spans="1:7" x14ac:dyDescent="0.2">
      <c r="A365">
        <v>385</v>
      </c>
      <c r="B365" s="13">
        <v>46272</v>
      </c>
      <c r="C365" t="s">
        <v>34</v>
      </c>
      <c r="D365" t="s">
        <v>43</v>
      </c>
      <c r="E365">
        <v>20</v>
      </c>
      <c r="F365" s="14">
        <v>5350</v>
      </c>
      <c r="G365" s="14">
        <v>107000</v>
      </c>
    </row>
    <row r="366" spans="1:7" x14ac:dyDescent="0.2">
      <c r="A366">
        <v>386</v>
      </c>
      <c r="B366" s="13">
        <v>46272</v>
      </c>
      <c r="C366" t="s">
        <v>36</v>
      </c>
      <c r="D366" t="s">
        <v>42</v>
      </c>
      <c r="E366">
        <v>5</v>
      </c>
      <c r="F366" s="14">
        <v>4230</v>
      </c>
      <c r="G366" s="14">
        <v>21150</v>
      </c>
    </row>
    <row r="367" spans="1:7" x14ac:dyDescent="0.2">
      <c r="A367">
        <v>388</v>
      </c>
      <c r="B367" s="13">
        <v>46274</v>
      </c>
      <c r="C367" t="s">
        <v>41</v>
      </c>
      <c r="D367" t="s">
        <v>51</v>
      </c>
      <c r="E367">
        <v>7</v>
      </c>
      <c r="F367" s="14">
        <v>13630</v>
      </c>
      <c r="G367" s="14">
        <v>95410</v>
      </c>
    </row>
    <row r="368" spans="1:7" x14ac:dyDescent="0.2">
      <c r="A368">
        <v>389</v>
      </c>
      <c r="B368" s="13">
        <v>46274</v>
      </c>
      <c r="C368" t="s">
        <v>45</v>
      </c>
      <c r="D368" t="s">
        <v>42</v>
      </c>
      <c r="E368">
        <v>31</v>
      </c>
      <c r="F368" s="14">
        <v>4640</v>
      </c>
      <c r="G368" s="14">
        <v>143840</v>
      </c>
    </row>
    <row r="369" spans="1:7" x14ac:dyDescent="0.2">
      <c r="A369">
        <v>390</v>
      </c>
      <c r="B369" s="13">
        <v>46274</v>
      </c>
      <c r="C369" t="s">
        <v>41</v>
      </c>
      <c r="D369" t="s">
        <v>35</v>
      </c>
      <c r="E369">
        <v>29</v>
      </c>
      <c r="F369" s="14">
        <v>3420</v>
      </c>
      <c r="G369" s="14">
        <v>99180</v>
      </c>
    </row>
    <row r="370" spans="1:7" x14ac:dyDescent="0.2">
      <c r="A370">
        <v>391</v>
      </c>
      <c r="B370" s="13">
        <v>46275</v>
      </c>
      <c r="C370" t="s">
        <v>49</v>
      </c>
      <c r="D370" t="s">
        <v>48</v>
      </c>
      <c r="E370">
        <v>14</v>
      </c>
      <c r="F370" s="14">
        <v>1810</v>
      </c>
      <c r="G370" s="14">
        <v>25340</v>
      </c>
    </row>
    <row r="371" spans="1:7" x14ac:dyDescent="0.2">
      <c r="A371">
        <v>392</v>
      </c>
      <c r="B371" s="13">
        <v>46276</v>
      </c>
      <c r="C371" t="s">
        <v>45</v>
      </c>
      <c r="D371" t="s">
        <v>40</v>
      </c>
      <c r="E371">
        <v>37</v>
      </c>
      <c r="F371" s="14">
        <v>5330</v>
      </c>
      <c r="G371" s="14">
        <v>197210</v>
      </c>
    </row>
    <row r="372" spans="1:7" x14ac:dyDescent="0.2">
      <c r="A372">
        <v>393</v>
      </c>
      <c r="B372" s="13">
        <v>46276</v>
      </c>
      <c r="C372" t="s">
        <v>45</v>
      </c>
      <c r="D372" t="s">
        <v>51</v>
      </c>
      <c r="E372">
        <v>38</v>
      </c>
      <c r="F372" s="14">
        <v>14290</v>
      </c>
      <c r="G372" s="14">
        <v>543020</v>
      </c>
    </row>
    <row r="373" spans="1:7" x14ac:dyDescent="0.2">
      <c r="A373">
        <v>395</v>
      </c>
      <c r="B373" s="13">
        <v>46278</v>
      </c>
      <c r="C373" t="s">
        <v>50</v>
      </c>
      <c r="D373" t="s">
        <v>35</v>
      </c>
      <c r="E373">
        <v>6</v>
      </c>
      <c r="F373" s="14">
        <v>3190</v>
      </c>
      <c r="G373" s="14">
        <v>19140</v>
      </c>
    </row>
    <row r="374" spans="1:7" x14ac:dyDescent="0.2">
      <c r="A374">
        <v>396</v>
      </c>
      <c r="B374" s="13">
        <v>46279</v>
      </c>
      <c r="C374" t="s">
        <v>50</v>
      </c>
      <c r="D374" t="s">
        <v>44</v>
      </c>
      <c r="E374">
        <v>18</v>
      </c>
      <c r="F374" s="14">
        <v>3980</v>
      </c>
      <c r="G374" s="14">
        <v>71640</v>
      </c>
    </row>
    <row r="375" spans="1:7" x14ac:dyDescent="0.2">
      <c r="A375">
        <v>397</v>
      </c>
      <c r="B375" s="13">
        <v>46279</v>
      </c>
      <c r="C375" t="s">
        <v>34</v>
      </c>
      <c r="D375" t="s">
        <v>51</v>
      </c>
      <c r="E375">
        <v>25</v>
      </c>
      <c r="F375" s="14">
        <v>15390</v>
      </c>
      <c r="G375" s="14">
        <v>384750</v>
      </c>
    </row>
    <row r="376" spans="1:7" x14ac:dyDescent="0.2">
      <c r="A376">
        <v>398</v>
      </c>
      <c r="B376" s="13">
        <v>46279</v>
      </c>
      <c r="C376" t="s">
        <v>47</v>
      </c>
      <c r="D376" t="s">
        <v>42</v>
      </c>
      <c r="E376">
        <v>11</v>
      </c>
      <c r="F376" s="14">
        <v>4570</v>
      </c>
      <c r="G376" s="14">
        <v>50270</v>
      </c>
    </row>
    <row r="377" spans="1:7" x14ac:dyDescent="0.2">
      <c r="A377">
        <v>399</v>
      </c>
      <c r="B377" s="13">
        <v>46280</v>
      </c>
      <c r="C377" t="s">
        <v>50</v>
      </c>
      <c r="D377" t="s">
        <v>37</v>
      </c>
      <c r="E377">
        <v>38</v>
      </c>
      <c r="F377" s="14">
        <v>3480</v>
      </c>
      <c r="G377" s="14">
        <v>132240</v>
      </c>
    </row>
    <row r="378" spans="1:7" x14ac:dyDescent="0.2">
      <c r="A378">
        <v>400</v>
      </c>
      <c r="B378" s="13">
        <v>46281</v>
      </c>
      <c r="C378" t="s">
        <v>47</v>
      </c>
      <c r="D378" t="s">
        <v>48</v>
      </c>
      <c r="E378">
        <v>36</v>
      </c>
      <c r="F378" s="14">
        <v>1830</v>
      </c>
      <c r="G378" s="14">
        <v>65880</v>
      </c>
    </row>
    <row r="379" spans="1:7" x14ac:dyDescent="0.2">
      <c r="A379">
        <v>401</v>
      </c>
      <c r="B379" s="13">
        <v>46281</v>
      </c>
      <c r="C379" t="s">
        <v>41</v>
      </c>
      <c r="D379" t="s">
        <v>39</v>
      </c>
      <c r="E379">
        <v>20</v>
      </c>
      <c r="F379" s="14">
        <v>2500</v>
      </c>
      <c r="G379" s="14">
        <v>50000</v>
      </c>
    </row>
    <row r="380" spans="1:7" x14ac:dyDescent="0.2">
      <c r="A380">
        <v>402</v>
      </c>
      <c r="B380" s="13">
        <v>46282</v>
      </c>
      <c r="C380" t="s">
        <v>32</v>
      </c>
      <c r="D380" t="s">
        <v>33</v>
      </c>
      <c r="E380">
        <v>30</v>
      </c>
      <c r="F380" s="14">
        <v>18640</v>
      </c>
      <c r="G380" s="14">
        <v>559200</v>
      </c>
    </row>
    <row r="381" spans="1:7" x14ac:dyDescent="0.2">
      <c r="A381">
        <v>403</v>
      </c>
      <c r="B381" s="13">
        <v>46282</v>
      </c>
      <c r="C381" t="s">
        <v>41</v>
      </c>
      <c r="D381" t="s">
        <v>37</v>
      </c>
      <c r="E381">
        <v>34</v>
      </c>
      <c r="F381" s="14">
        <v>3420</v>
      </c>
      <c r="G381" s="14">
        <v>116280</v>
      </c>
    </row>
    <row r="382" spans="1:7" x14ac:dyDescent="0.2">
      <c r="A382">
        <v>404</v>
      </c>
      <c r="B382" s="13">
        <v>46285</v>
      </c>
      <c r="C382" t="s">
        <v>50</v>
      </c>
      <c r="D382" t="s">
        <v>40</v>
      </c>
      <c r="E382">
        <v>19</v>
      </c>
      <c r="F382" s="14">
        <v>6010</v>
      </c>
      <c r="G382" s="14">
        <v>114190</v>
      </c>
    </row>
    <row r="383" spans="1:7" x14ac:dyDescent="0.2">
      <c r="A383">
        <v>405</v>
      </c>
      <c r="B383" s="13">
        <v>46285</v>
      </c>
      <c r="C383" t="s">
        <v>36</v>
      </c>
      <c r="D383" t="s">
        <v>39</v>
      </c>
      <c r="E383">
        <v>29</v>
      </c>
      <c r="F383" s="14">
        <v>2610</v>
      </c>
      <c r="G383" s="14">
        <v>75690</v>
      </c>
    </row>
    <row r="384" spans="1:7" x14ac:dyDescent="0.2">
      <c r="A384">
        <v>406</v>
      </c>
      <c r="B384" s="13">
        <v>46286</v>
      </c>
      <c r="C384" t="s">
        <v>49</v>
      </c>
      <c r="D384" t="s">
        <v>48</v>
      </c>
      <c r="E384">
        <v>24</v>
      </c>
      <c r="F384" s="14">
        <v>1670</v>
      </c>
      <c r="G384" s="14">
        <v>40080</v>
      </c>
    </row>
    <row r="385" spans="1:7" x14ac:dyDescent="0.2">
      <c r="A385">
        <v>407</v>
      </c>
      <c r="B385" s="13">
        <v>46286</v>
      </c>
      <c r="C385" t="s">
        <v>38</v>
      </c>
      <c r="D385" t="s">
        <v>48</v>
      </c>
      <c r="E385">
        <v>31</v>
      </c>
      <c r="F385" s="14">
        <v>1710</v>
      </c>
      <c r="G385" s="14">
        <v>53010</v>
      </c>
    </row>
    <row r="386" spans="1:7" x14ac:dyDescent="0.2">
      <c r="A386">
        <v>408</v>
      </c>
      <c r="B386" s="13">
        <v>46287</v>
      </c>
      <c r="C386" t="s">
        <v>38</v>
      </c>
      <c r="D386" t="s">
        <v>51</v>
      </c>
      <c r="E386">
        <v>14</v>
      </c>
      <c r="F386" s="14">
        <v>13780</v>
      </c>
      <c r="G386" s="14">
        <v>192920</v>
      </c>
    </row>
    <row r="387" spans="1:7" x14ac:dyDescent="0.2">
      <c r="A387">
        <v>409</v>
      </c>
      <c r="B387" s="13">
        <v>46287</v>
      </c>
      <c r="C387" t="s">
        <v>34</v>
      </c>
      <c r="D387" t="s">
        <v>42</v>
      </c>
      <c r="E387">
        <v>6</v>
      </c>
      <c r="F387" s="14">
        <v>4460</v>
      </c>
      <c r="G387" s="14">
        <v>26760</v>
      </c>
    </row>
    <row r="388" spans="1:7" x14ac:dyDescent="0.2">
      <c r="A388">
        <v>410</v>
      </c>
      <c r="B388" s="13">
        <v>46288</v>
      </c>
      <c r="C388" t="s">
        <v>41</v>
      </c>
      <c r="D388" t="s">
        <v>44</v>
      </c>
      <c r="E388">
        <v>7</v>
      </c>
      <c r="F388" s="14">
        <v>4030</v>
      </c>
      <c r="G388" s="14">
        <v>28210</v>
      </c>
    </row>
    <row r="389" spans="1:7" x14ac:dyDescent="0.2">
      <c r="A389">
        <v>411</v>
      </c>
      <c r="B389" s="13">
        <v>46288</v>
      </c>
      <c r="C389" t="s">
        <v>38</v>
      </c>
      <c r="D389" t="s">
        <v>44</v>
      </c>
      <c r="E389">
        <v>13</v>
      </c>
      <c r="F389" s="14">
        <v>4110</v>
      </c>
      <c r="G389" s="14">
        <v>53430</v>
      </c>
    </row>
    <row r="390" spans="1:7" x14ac:dyDescent="0.2">
      <c r="A390">
        <v>412</v>
      </c>
      <c r="B390" s="13">
        <v>46288</v>
      </c>
      <c r="C390" t="s">
        <v>49</v>
      </c>
      <c r="D390" t="s">
        <v>33</v>
      </c>
      <c r="E390">
        <v>19</v>
      </c>
      <c r="F390" s="14">
        <v>17720</v>
      </c>
      <c r="G390" s="14">
        <v>336680</v>
      </c>
    </row>
    <row r="391" spans="1:7" x14ac:dyDescent="0.2">
      <c r="A391">
        <v>413</v>
      </c>
      <c r="B391" s="13">
        <v>46290</v>
      </c>
      <c r="C391" t="s">
        <v>34</v>
      </c>
      <c r="D391" t="s">
        <v>42</v>
      </c>
      <c r="E391">
        <v>19</v>
      </c>
      <c r="F391" s="14">
        <v>4100</v>
      </c>
      <c r="G391" s="14">
        <v>77900</v>
      </c>
    </row>
    <row r="392" spans="1:7" x14ac:dyDescent="0.2">
      <c r="A392">
        <v>414</v>
      </c>
      <c r="B392" s="13">
        <v>46290</v>
      </c>
      <c r="C392" t="s">
        <v>32</v>
      </c>
      <c r="D392" t="s">
        <v>44</v>
      </c>
      <c r="E392">
        <v>21</v>
      </c>
      <c r="F392" s="14">
        <v>3750</v>
      </c>
      <c r="G392" s="14">
        <v>78750</v>
      </c>
    </row>
    <row r="393" spans="1:7" x14ac:dyDescent="0.2">
      <c r="A393">
        <v>415</v>
      </c>
      <c r="B393" s="13">
        <v>46290</v>
      </c>
      <c r="C393" t="s">
        <v>32</v>
      </c>
      <c r="D393" t="s">
        <v>35</v>
      </c>
      <c r="E393">
        <v>15</v>
      </c>
      <c r="F393" s="14">
        <v>3170</v>
      </c>
      <c r="G393" s="14">
        <v>47550</v>
      </c>
    </row>
    <row r="394" spans="1:7" x14ac:dyDescent="0.2">
      <c r="A394">
        <v>416</v>
      </c>
      <c r="B394" s="13">
        <v>46291</v>
      </c>
      <c r="C394" t="s">
        <v>49</v>
      </c>
      <c r="D394" t="s">
        <v>33</v>
      </c>
      <c r="E394">
        <v>18</v>
      </c>
      <c r="F394" s="14">
        <v>17750</v>
      </c>
      <c r="G394" s="14">
        <v>319500</v>
      </c>
    </row>
    <row r="395" spans="1:7" x14ac:dyDescent="0.2">
      <c r="A395">
        <v>417</v>
      </c>
      <c r="B395" s="13">
        <v>46291</v>
      </c>
      <c r="C395" t="s">
        <v>46</v>
      </c>
      <c r="D395" t="s">
        <v>43</v>
      </c>
      <c r="E395">
        <v>31</v>
      </c>
      <c r="F395" s="14">
        <v>5560</v>
      </c>
      <c r="G395" s="14">
        <v>172360</v>
      </c>
    </row>
    <row r="396" spans="1:7" x14ac:dyDescent="0.2">
      <c r="A396">
        <v>418</v>
      </c>
      <c r="B396" s="13">
        <v>46293</v>
      </c>
      <c r="C396" t="s">
        <v>32</v>
      </c>
      <c r="D396" t="s">
        <v>35</v>
      </c>
      <c r="E396">
        <v>24</v>
      </c>
      <c r="F396" s="14">
        <v>3040</v>
      </c>
      <c r="G396" s="14">
        <v>72960</v>
      </c>
    </row>
    <row r="397" spans="1:7" x14ac:dyDescent="0.2">
      <c r="A397">
        <v>420</v>
      </c>
      <c r="B397" s="13">
        <v>46293</v>
      </c>
      <c r="C397" t="s">
        <v>38</v>
      </c>
      <c r="D397" t="s">
        <v>35</v>
      </c>
      <c r="E397">
        <v>20</v>
      </c>
      <c r="F397" s="14">
        <v>2970</v>
      </c>
      <c r="G397" s="14">
        <v>59400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F37C-1894-0340-8907-8D06ED78982B}">
  <dimension ref="A1:G4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7" width="16.6640625" customWidth="1"/>
  </cols>
  <sheetData>
    <row r="1" spans="1:7" x14ac:dyDescent="0.2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2">
      <c r="A2">
        <v>1</v>
      </c>
      <c r="B2" t="s">
        <v>114</v>
      </c>
      <c r="C2" t="s">
        <v>32</v>
      </c>
      <c r="D2" t="s">
        <v>33</v>
      </c>
      <c r="E2">
        <v>21</v>
      </c>
      <c r="F2">
        <v>19090</v>
      </c>
      <c r="G2">
        <v>400890</v>
      </c>
    </row>
    <row r="3" spans="1:7" x14ac:dyDescent="0.2">
      <c r="A3">
        <v>2</v>
      </c>
      <c r="B3" t="s">
        <v>114</v>
      </c>
      <c r="C3" t="s">
        <v>34</v>
      </c>
      <c r="D3" t="s">
        <v>35</v>
      </c>
      <c r="E3">
        <v>8</v>
      </c>
      <c r="F3">
        <v>2990</v>
      </c>
      <c r="G3">
        <v>23920</v>
      </c>
    </row>
    <row r="4" spans="1:7" x14ac:dyDescent="0.2">
      <c r="A4">
        <v>3</v>
      </c>
      <c r="B4" t="s">
        <v>115</v>
      </c>
      <c r="C4" t="s">
        <v>36</v>
      </c>
      <c r="D4" t="s">
        <v>37</v>
      </c>
      <c r="E4">
        <v>22</v>
      </c>
      <c r="F4">
        <v>3850</v>
      </c>
      <c r="G4">
        <v>84700</v>
      </c>
    </row>
    <row r="5" spans="1:7" x14ac:dyDescent="0.2">
      <c r="A5">
        <v>4</v>
      </c>
      <c r="B5" t="s">
        <v>115</v>
      </c>
      <c r="C5" t="s">
        <v>38</v>
      </c>
      <c r="D5" t="s">
        <v>35</v>
      </c>
      <c r="E5">
        <v>30</v>
      </c>
      <c r="F5">
        <v>2980</v>
      </c>
      <c r="G5">
        <v>89400</v>
      </c>
    </row>
    <row r="6" spans="1:7" x14ac:dyDescent="0.2">
      <c r="A6">
        <v>5</v>
      </c>
      <c r="B6" t="s">
        <v>115</v>
      </c>
      <c r="C6" t="s">
        <v>36</v>
      </c>
      <c r="D6" t="s">
        <v>33</v>
      </c>
      <c r="E6">
        <v>13</v>
      </c>
      <c r="F6">
        <v>17890</v>
      </c>
      <c r="G6">
        <v>232570</v>
      </c>
    </row>
    <row r="7" spans="1:7" x14ac:dyDescent="0.2">
      <c r="A7">
        <v>6</v>
      </c>
      <c r="B7" t="s">
        <v>115</v>
      </c>
      <c r="C7" t="s">
        <v>36</v>
      </c>
      <c r="D7" t="s">
        <v>35</v>
      </c>
      <c r="E7">
        <v>8</v>
      </c>
      <c r="F7">
        <v>3320</v>
      </c>
      <c r="G7">
        <v>26560</v>
      </c>
    </row>
    <row r="8" spans="1:7" x14ac:dyDescent="0.2">
      <c r="A8">
        <v>7</v>
      </c>
      <c r="B8" t="s">
        <v>116</v>
      </c>
      <c r="C8" t="s">
        <v>34</v>
      </c>
      <c r="D8" t="s">
        <v>39</v>
      </c>
      <c r="E8">
        <v>11</v>
      </c>
      <c r="F8">
        <v>2860</v>
      </c>
      <c r="G8">
        <v>31460</v>
      </c>
    </row>
    <row r="9" spans="1:7" x14ac:dyDescent="0.2">
      <c r="A9">
        <v>8</v>
      </c>
      <c r="B9" t="s">
        <v>116</v>
      </c>
      <c r="C9" t="s">
        <v>38</v>
      </c>
      <c r="D9" t="s">
        <v>40</v>
      </c>
      <c r="E9">
        <v>24</v>
      </c>
      <c r="F9">
        <v>5270</v>
      </c>
      <c r="G9">
        <v>126480</v>
      </c>
    </row>
    <row r="10" spans="1:7" x14ac:dyDescent="0.2">
      <c r="A10">
        <v>9</v>
      </c>
      <c r="B10" t="s">
        <v>116</v>
      </c>
      <c r="C10" t="s">
        <v>41</v>
      </c>
      <c r="D10" t="s">
        <v>42</v>
      </c>
      <c r="E10">
        <v>6</v>
      </c>
      <c r="F10">
        <v>4200</v>
      </c>
      <c r="G10">
        <v>25200</v>
      </c>
    </row>
    <row r="11" spans="1:7" x14ac:dyDescent="0.2">
      <c r="A11">
        <v>10</v>
      </c>
      <c r="B11" t="s">
        <v>117</v>
      </c>
      <c r="C11" t="s">
        <v>36</v>
      </c>
      <c r="D11" t="s">
        <v>43</v>
      </c>
      <c r="E11">
        <v>20</v>
      </c>
      <c r="F11">
        <v>5390</v>
      </c>
      <c r="G11">
        <v>107800</v>
      </c>
    </row>
    <row r="12" spans="1:7" x14ac:dyDescent="0.2">
      <c r="A12">
        <v>11</v>
      </c>
      <c r="B12" t="s">
        <v>118</v>
      </c>
      <c r="C12" t="s">
        <v>36</v>
      </c>
      <c r="D12" t="s">
        <v>35</v>
      </c>
      <c r="E12">
        <v>20</v>
      </c>
      <c r="F12">
        <v>2960</v>
      </c>
      <c r="G12">
        <v>59200</v>
      </c>
    </row>
    <row r="13" spans="1:7" x14ac:dyDescent="0.2">
      <c r="A13">
        <v>12</v>
      </c>
      <c r="B13" t="s">
        <v>118</v>
      </c>
      <c r="C13" t="s">
        <v>41</v>
      </c>
      <c r="D13" t="s">
        <v>40</v>
      </c>
      <c r="E13">
        <v>13</v>
      </c>
      <c r="F13">
        <v>5350</v>
      </c>
      <c r="G13">
        <v>69550</v>
      </c>
    </row>
    <row r="14" spans="1:7" x14ac:dyDescent="0.2">
      <c r="A14">
        <v>13</v>
      </c>
      <c r="B14" t="s">
        <v>119</v>
      </c>
      <c r="C14" t="s">
        <v>36</v>
      </c>
      <c r="D14" t="s">
        <v>44</v>
      </c>
      <c r="E14">
        <v>36</v>
      </c>
      <c r="F14">
        <v>3730</v>
      </c>
      <c r="G14">
        <v>134280</v>
      </c>
    </row>
    <row r="15" spans="1:7" x14ac:dyDescent="0.2">
      <c r="A15">
        <v>14</v>
      </c>
      <c r="B15" t="s">
        <v>120</v>
      </c>
      <c r="C15" t="s">
        <v>34</v>
      </c>
      <c r="D15" t="s">
        <v>37</v>
      </c>
      <c r="E15">
        <v>18</v>
      </c>
      <c r="F15">
        <v>3410</v>
      </c>
      <c r="G15">
        <v>61380</v>
      </c>
    </row>
    <row r="16" spans="1:7" x14ac:dyDescent="0.2">
      <c r="A16">
        <v>15</v>
      </c>
      <c r="B16" t="s">
        <v>120</v>
      </c>
      <c r="C16" t="s">
        <v>32</v>
      </c>
      <c r="D16" t="s">
        <v>35</v>
      </c>
      <c r="E16">
        <v>16</v>
      </c>
      <c r="F16">
        <v>3190</v>
      </c>
      <c r="G16">
        <v>51040</v>
      </c>
    </row>
    <row r="17" spans="1:7" x14ac:dyDescent="0.2">
      <c r="A17">
        <v>16</v>
      </c>
      <c r="B17" t="s">
        <v>120</v>
      </c>
      <c r="C17" t="s">
        <v>45</v>
      </c>
      <c r="D17" t="s">
        <v>39</v>
      </c>
      <c r="E17">
        <v>32</v>
      </c>
      <c r="F17">
        <v>2490</v>
      </c>
      <c r="G17">
        <v>79680</v>
      </c>
    </row>
    <row r="18" spans="1:7" x14ac:dyDescent="0.2">
      <c r="A18">
        <v>17</v>
      </c>
      <c r="B18" t="s">
        <v>121</v>
      </c>
      <c r="C18" t="s">
        <v>46</v>
      </c>
      <c r="D18" t="s">
        <v>40</v>
      </c>
      <c r="E18">
        <v>32</v>
      </c>
      <c r="F18">
        <v>5730</v>
      </c>
      <c r="G18">
        <v>183360</v>
      </c>
    </row>
    <row r="19" spans="1:7" x14ac:dyDescent="0.2">
      <c r="A19">
        <v>18</v>
      </c>
      <c r="C19" t="s">
        <v>47</v>
      </c>
      <c r="D19" t="s">
        <v>51</v>
      </c>
      <c r="E19">
        <v>36</v>
      </c>
      <c r="F19">
        <v>13720</v>
      </c>
      <c r="G19">
        <v>493920</v>
      </c>
    </row>
    <row r="20" spans="1:7" x14ac:dyDescent="0.2">
      <c r="A20">
        <v>19</v>
      </c>
      <c r="B20" t="s">
        <v>122</v>
      </c>
      <c r="C20" t="s">
        <v>34</v>
      </c>
      <c r="D20" t="s">
        <v>43</v>
      </c>
      <c r="E20">
        <v>19</v>
      </c>
      <c r="F20">
        <v>4870</v>
      </c>
      <c r="G20">
        <v>92530</v>
      </c>
    </row>
    <row r="21" spans="1:7" x14ac:dyDescent="0.2">
      <c r="A21">
        <v>20</v>
      </c>
      <c r="B21" t="s">
        <v>123</v>
      </c>
      <c r="C21" t="s">
        <v>45</v>
      </c>
      <c r="D21" t="s">
        <v>37</v>
      </c>
      <c r="E21">
        <v>18</v>
      </c>
      <c r="F21">
        <v>3370</v>
      </c>
      <c r="G21">
        <v>60660</v>
      </c>
    </row>
    <row r="22" spans="1:7" x14ac:dyDescent="0.2">
      <c r="A22">
        <v>21</v>
      </c>
      <c r="B22" t="s">
        <v>123</v>
      </c>
      <c r="C22" t="s">
        <v>36</v>
      </c>
      <c r="D22" t="s">
        <v>44</v>
      </c>
      <c r="E22">
        <v>39</v>
      </c>
      <c r="F22">
        <v>3870</v>
      </c>
      <c r="G22">
        <v>150930</v>
      </c>
    </row>
    <row r="23" spans="1:7" x14ac:dyDescent="0.2">
      <c r="A23">
        <v>22</v>
      </c>
      <c r="B23" t="s">
        <v>124</v>
      </c>
      <c r="C23" t="s">
        <v>47</v>
      </c>
      <c r="D23" t="s">
        <v>48</v>
      </c>
      <c r="E23">
        <v>30</v>
      </c>
      <c r="F23">
        <v>1930</v>
      </c>
      <c r="G23">
        <v>57900</v>
      </c>
    </row>
    <row r="24" spans="1:7" x14ac:dyDescent="0.2">
      <c r="A24">
        <v>23</v>
      </c>
      <c r="B24" t="s">
        <v>124</v>
      </c>
      <c r="C24" t="s">
        <v>49</v>
      </c>
      <c r="D24" t="s">
        <v>42</v>
      </c>
      <c r="E24">
        <v>29</v>
      </c>
      <c r="F24">
        <v>4360</v>
      </c>
      <c r="G24">
        <v>126440</v>
      </c>
    </row>
    <row r="25" spans="1:7" x14ac:dyDescent="0.2">
      <c r="A25">
        <v>24</v>
      </c>
      <c r="B25" t="s">
        <v>125</v>
      </c>
      <c r="C25" t="s">
        <v>36</v>
      </c>
      <c r="D25" t="s">
        <v>43</v>
      </c>
      <c r="E25">
        <v>10</v>
      </c>
      <c r="F25">
        <v>4880</v>
      </c>
      <c r="G25">
        <v>48800</v>
      </c>
    </row>
    <row r="26" spans="1:7" x14ac:dyDescent="0.2">
      <c r="A26">
        <v>25</v>
      </c>
      <c r="B26" t="s">
        <v>126</v>
      </c>
      <c r="C26" t="s">
        <v>47</v>
      </c>
      <c r="D26" t="s">
        <v>37</v>
      </c>
      <c r="E26">
        <v>11</v>
      </c>
      <c r="F26">
        <v>3670</v>
      </c>
      <c r="G26">
        <v>40370</v>
      </c>
    </row>
    <row r="27" spans="1:7" x14ac:dyDescent="0.2">
      <c r="A27">
        <v>26</v>
      </c>
      <c r="B27" t="s">
        <v>127</v>
      </c>
      <c r="C27" t="s">
        <v>38</v>
      </c>
      <c r="D27" t="s">
        <v>48</v>
      </c>
      <c r="E27">
        <v>20</v>
      </c>
      <c r="F27">
        <v>1680</v>
      </c>
      <c r="G27">
        <v>33600</v>
      </c>
    </row>
    <row r="28" spans="1:7" x14ac:dyDescent="0.2">
      <c r="A28">
        <v>27</v>
      </c>
      <c r="B28" t="s">
        <v>128</v>
      </c>
      <c r="C28" t="s">
        <v>45</v>
      </c>
      <c r="D28" t="s">
        <v>33</v>
      </c>
      <c r="E28">
        <v>4</v>
      </c>
      <c r="F28">
        <v>20310</v>
      </c>
      <c r="G28">
        <v>81240</v>
      </c>
    </row>
    <row r="29" spans="1:7" x14ac:dyDescent="0.2">
      <c r="A29">
        <v>28</v>
      </c>
      <c r="B29" t="s">
        <v>129</v>
      </c>
      <c r="C29" t="s">
        <v>49</v>
      </c>
      <c r="D29" t="s">
        <v>37</v>
      </c>
      <c r="E29">
        <v>4</v>
      </c>
      <c r="F29">
        <v>3800</v>
      </c>
      <c r="G29">
        <v>15200</v>
      </c>
    </row>
    <row r="30" spans="1:7" x14ac:dyDescent="0.2">
      <c r="A30">
        <v>29</v>
      </c>
      <c r="B30" t="s">
        <v>129</v>
      </c>
      <c r="C30" t="s">
        <v>45</v>
      </c>
      <c r="D30" t="s">
        <v>35</v>
      </c>
      <c r="E30">
        <v>28</v>
      </c>
      <c r="F30">
        <v>2980</v>
      </c>
      <c r="G30">
        <v>83440</v>
      </c>
    </row>
    <row r="31" spans="1:7" x14ac:dyDescent="0.2">
      <c r="A31">
        <v>30</v>
      </c>
      <c r="B31" t="s">
        <v>129</v>
      </c>
      <c r="C31" t="s">
        <v>45</v>
      </c>
      <c r="D31" t="s">
        <v>33</v>
      </c>
      <c r="E31">
        <v>40</v>
      </c>
      <c r="F31">
        <v>18610</v>
      </c>
      <c r="G31">
        <v>744400</v>
      </c>
    </row>
    <row r="32" spans="1:7" x14ac:dyDescent="0.2">
      <c r="A32">
        <v>31</v>
      </c>
      <c r="B32" t="s">
        <v>130</v>
      </c>
      <c r="C32" t="s">
        <v>36</v>
      </c>
      <c r="D32" t="s">
        <v>44</v>
      </c>
      <c r="E32">
        <v>14</v>
      </c>
      <c r="F32">
        <v>3660</v>
      </c>
      <c r="G32">
        <v>51240</v>
      </c>
    </row>
    <row r="33" spans="1:7" x14ac:dyDescent="0.2">
      <c r="A33">
        <v>32</v>
      </c>
      <c r="B33" t="s">
        <v>130</v>
      </c>
      <c r="C33" t="s">
        <v>46</v>
      </c>
      <c r="D33" t="s">
        <v>39</v>
      </c>
      <c r="E33">
        <v>13</v>
      </c>
      <c r="F33">
        <v>2500</v>
      </c>
      <c r="G33">
        <v>32500</v>
      </c>
    </row>
    <row r="34" spans="1:7" x14ac:dyDescent="0.2">
      <c r="A34">
        <v>33</v>
      </c>
      <c r="B34" t="s">
        <v>130</v>
      </c>
      <c r="C34" t="s">
        <v>50</v>
      </c>
      <c r="D34" t="s">
        <v>44</v>
      </c>
      <c r="E34">
        <v>21</v>
      </c>
      <c r="F34">
        <v>4170</v>
      </c>
      <c r="G34">
        <v>87570</v>
      </c>
    </row>
    <row r="35" spans="1:7" x14ac:dyDescent="0.2">
      <c r="A35">
        <v>34</v>
      </c>
      <c r="B35" t="s">
        <v>130</v>
      </c>
      <c r="C35" t="s">
        <v>38</v>
      </c>
      <c r="D35" t="s">
        <v>39</v>
      </c>
      <c r="E35">
        <v>7</v>
      </c>
      <c r="F35">
        <v>2900</v>
      </c>
      <c r="G35">
        <v>20300</v>
      </c>
    </row>
    <row r="36" spans="1:7" x14ac:dyDescent="0.2">
      <c r="A36">
        <v>35</v>
      </c>
      <c r="B36" t="s">
        <v>131</v>
      </c>
      <c r="C36" t="s">
        <v>32</v>
      </c>
      <c r="D36" t="s">
        <v>43</v>
      </c>
      <c r="E36">
        <v>19</v>
      </c>
      <c r="F36">
        <v>4910</v>
      </c>
      <c r="G36">
        <v>93290</v>
      </c>
    </row>
    <row r="37" spans="1:7" x14ac:dyDescent="0.2">
      <c r="A37">
        <v>36</v>
      </c>
      <c r="B37" t="s">
        <v>132</v>
      </c>
      <c r="C37" t="s">
        <v>49</v>
      </c>
      <c r="D37" t="s">
        <v>40</v>
      </c>
      <c r="E37">
        <v>20</v>
      </c>
      <c r="F37">
        <v>5230</v>
      </c>
      <c r="G37">
        <v>104600</v>
      </c>
    </row>
    <row r="38" spans="1:7" x14ac:dyDescent="0.2">
      <c r="A38">
        <v>37</v>
      </c>
      <c r="B38" t="s">
        <v>132</v>
      </c>
      <c r="C38" t="s">
        <v>34</v>
      </c>
      <c r="D38" t="s">
        <v>51</v>
      </c>
      <c r="E38">
        <v>27</v>
      </c>
      <c r="F38">
        <v>15120</v>
      </c>
      <c r="G38">
        <v>408240</v>
      </c>
    </row>
    <row r="39" spans="1:7" x14ac:dyDescent="0.2">
      <c r="A39">
        <v>38</v>
      </c>
      <c r="B39" t="s">
        <v>133</v>
      </c>
      <c r="C39" t="s">
        <v>34</v>
      </c>
      <c r="D39" t="s">
        <v>39</v>
      </c>
      <c r="E39">
        <v>36</v>
      </c>
      <c r="F39">
        <v>2880</v>
      </c>
      <c r="G39">
        <v>103680</v>
      </c>
    </row>
    <row r="40" spans="1:7" x14ac:dyDescent="0.2">
      <c r="A40">
        <v>39</v>
      </c>
      <c r="B40" t="s">
        <v>134</v>
      </c>
      <c r="C40" t="s">
        <v>41</v>
      </c>
      <c r="D40" t="s">
        <v>37</v>
      </c>
      <c r="E40">
        <v>18</v>
      </c>
      <c r="F40">
        <v>3310</v>
      </c>
      <c r="G40">
        <v>59580</v>
      </c>
    </row>
    <row r="41" spans="1:7" x14ac:dyDescent="0.2">
      <c r="A41">
        <v>40</v>
      </c>
      <c r="B41" t="s">
        <v>135</v>
      </c>
      <c r="C41" t="s">
        <v>38</v>
      </c>
      <c r="D41" t="s">
        <v>39</v>
      </c>
      <c r="E41">
        <v>18</v>
      </c>
      <c r="F41">
        <v>2830</v>
      </c>
      <c r="G41">
        <v>50940</v>
      </c>
    </row>
    <row r="42" spans="1:7" x14ac:dyDescent="0.2">
      <c r="A42">
        <v>41</v>
      </c>
      <c r="B42" t="s">
        <v>135</v>
      </c>
      <c r="C42" t="s">
        <v>47</v>
      </c>
      <c r="D42" t="s">
        <v>37</v>
      </c>
      <c r="E42">
        <v>29</v>
      </c>
      <c r="F42">
        <v>3480</v>
      </c>
      <c r="G42">
        <v>100920</v>
      </c>
    </row>
    <row r="43" spans="1:7" x14ac:dyDescent="0.2">
      <c r="A43">
        <v>42</v>
      </c>
      <c r="B43" t="s">
        <v>136</v>
      </c>
      <c r="C43" t="s">
        <v>45</v>
      </c>
      <c r="D43" t="s">
        <v>39</v>
      </c>
      <c r="E43">
        <v>12</v>
      </c>
      <c r="F43">
        <v>2780</v>
      </c>
      <c r="G43">
        <v>33360</v>
      </c>
    </row>
    <row r="44" spans="1:7" x14ac:dyDescent="0.2">
      <c r="A44">
        <v>43</v>
      </c>
      <c r="B44" t="s">
        <v>137</v>
      </c>
      <c r="C44" t="s">
        <v>45</v>
      </c>
      <c r="D44" t="s">
        <v>51</v>
      </c>
      <c r="E44">
        <v>14</v>
      </c>
      <c r="F44">
        <v>14310</v>
      </c>
      <c r="G44">
        <v>200340</v>
      </c>
    </row>
    <row r="45" spans="1:7" x14ac:dyDescent="0.2">
      <c r="A45">
        <v>44</v>
      </c>
      <c r="B45" t="s">
        <v>137</v>
      </c>
      <c r="C45" t="s">
        <v>49</v>
      </c>
      <c r="D45" t="s">
        <v>39</v>
      </c>
      <c r="E45">
        <v>25</v>
      </c>
      <c r="F45">
        <v>2770</v>
      </c>
      <c r="G45">
        <v>69250</v>
      </c>
    </row>
    <row r="46" spans="1:7" x14ac:dyDescent="0.2">
      <c r="A46">
        <v>45</v>
      </c>
      <c r="B46" t="s">
        <v>138</v>
      </c>
      <c r="C46" t="s">
        <v>41</v>
      </c>
      <c r="D46" t="s">
        <v>44</v>
      </c>
      <c r="E46">
        <v>31</v>
      </c>
      <c r="F46">
        <v>3750</v>
      </c>
      <c r="G46">
        <v>116250</v>
      </c>
    </row>
    <row r="47" spans="1:7" x14ac:dyDescent="0.2">
      <c r="A47">
        <v>46</v>
      </c>
      <c r="B47" t="s">
        <v>138</v>
      </c>
      <c r="C47" t="s">
        <v>41</v>
      </c>
      <c r="D47" t="s">
        <v>39</v>
      </c>
      <c r="E47">
        <v>19</v>
      </c>
      <c r="F47">
        <v>2610</v>
      </c>
      <c r="G47">
        <v>49590</v>
      </c>
    </row>
    <row r="48" spans="1:7" x14ac:dyDescent="0.2">
      <c r="A48">
        <v>47</v>
      </c>
      <c r="B48" t="s">
        <v>139</v>
      </c>
      <c r="C48" t="s">
        <v>36</v>
      </c>
      <c r="D48" t="s">
        <v>37</v>
      </c>
      <c r="E48">
        <v>11</v>
      </c>
      <c r="F48">
        <v>3330</v>
      </c>
      <c r="G48">
        <v>36630</v>
      </c>
    </row>
    <row r="49" spans="1:7" x14ac:dyDescent="0.2">
      <c r="A49">
        <v>48</v>
      </c>
      <c r="B49" t="s">
        <v>139</v>
      </c>
      <c r="C49" t="s">
        <v>41</v>
      </c>
      <c r="D49" t="s">
        <v>43</v>
      </c>
      <c r="E49">
        <v>26</v>
      </c>
      <c r="F49">
        <v>5070</v>
      </c>
      <c r="G49">
        <v>131820</v>
      </c>
    </row>
    <row r="50" spans="1:7" x14ac:dyDescent="0.2">
      <c r="A50">
        <v>49</v>
      </c>
      <c r="B50" t="s">
        <v>139</v>
      </c>
      <c r="C50" t="s">
        <v>47</v>
      </c>
      <c r="D50" t="s">
        <v>39</v>
      </c>
      <c r="E50">
        <v>27</v>
      </c>
      <c r="F50">
        <v>2690</v>
      </c>
      <c r="G50">
        <v>72630</v>
      </c>
    </row>
    <row r="51" spans="1:7" x14ac:dyDescent="0.2">
      <c r="A51">
        <v>50</v>
      </c>
      <c r="B51" t="s">
        <v>140</v>
      </c>
      <c r="C51" t="s">
        <v>45</v>
      </c>
      <c r="D51" t="s">
        <v>44</v>
      </c>
      <c r="E51">
        <v>28</v>
      </c>
      <c r="F51">
        <v>4190</v>
      </c>
      <c r="G51">
        <v>117320</v>
      </c>
    </row>
    <row r="52" spans="1:7" x14ac:dyDescent="0.2">
      <c r="A52">
        <v>51</v>
      </c>
      <c r="B52" t="s">
        <v>140</v>
      </c>
      <c r="C52" t="s">
        <v>36</v>
      </c>
      <c r="D52" t="s">
        <v>44</v>
      </c>
      <c r="E52">
        <v>3</v>
      </c>
      <c r="F52">
        <v>3770</v>
      </c>
      <c r="G52">
        <v>11310</v>
      </c>
    </row>
    <row r="53" spans="1:7" x14ac:dyDescent="0.2">
      <c r="A53">
        <v>52</v>
      </c>
      <c r="B53" t="s">
        <v>141</v>
      </c>
      <c r="C53" t="s">
        <v>50</v>
      </c>
      <c r="D53" t="s">
        <v>39</v>
      </c>
      <c r="E53">
        <v>7</v>
      </c>
      <c r="F53">
        <v>2710</v>
      </c>
      <c r="G53">
        <v>18970</v>
      </c>
    </row>
    <row r="54" spans="1:7" x14ac:dyDescent="0.2">
      <c r="A54">
        <v>53</v>
      </c>
      <c r="B54" t="s">
        <v>142</v>
      </c>
      <c r="C54" t="s">
        <v>36</v>
      </c>
      <c r="D54" t="s">
        <v>37</v>
      </c>
      <c r="E54">
        <v>32</v>
      </c>
      <c r="F54">
        <v>3870</v>
      </c>
      <c r="G54">
        <v>123840</v>
      </c>
    </row>
    <row r="55" spans="1:7" x14ac:dyDescent="0.2">
      <c r="A55">
        <v>54</v>
      </c>
      <c r="B55" t="s">
        <v>142</v>
      </c>
      <c r="C55" t="s">
        <v>41</v>
      </c>
      <c r="D55" t="s">
        <v>43</v>
      </c>
      <c r="E55">
        <v>31</v>
      </c>
      <c r="F55">
        <v>4970</v>
      </c>
      <c r="G55">
        <v>154070</v>
      </c>
    </row>
    <row r="56" spans="1:7" x14ac:dyDescent="0.2">
      <c r="A56">
        <v>55</v>
      </c>
      <c r="B56" t="s">
        <v>143</v>
      </c>
      <c r="C56" t="s">
        <v>46</v>
      </c>
      <c r="D56" t="s">
        <v>51</v>
      </c>
      <c r="E56">
        <v>7</v>
      </c>
      <c r="F56">
        <v>15170</v>
      </c>
      <c r="G56">
        <v>106190</v>
      </c>
    </row>
    <row r="57" spans="1:7" x14ac:dyDescent="0.2">
      <c r="A57">
        <v>56</v>
      </c>
      <c r="B57" t="s">
        <v>144</v>
      </c>
      <c r="C57" t="s">
        <v>36</v>
      </c>
      <c r="D57" t="s">
        <v>42</v>
      </c>
      <c r="E57">
        <v>2</v>
      </c>
      <c r="F57">
        <v>4130</v>
      </c>
      <c r="G57">
        <v>8260</v>
      </c>
    </row>
    <row r="58" spans="1:7" x14ac:dyDescent="0.2">
      <c r="A58">
        <v>57</v>
      </c>
      <c r="B58" t="s">
        <v>145</v>
      </c>
      <c r="C58" t="s">
        <v>46</v>
      </c>
      <c r="D58" t="s">
        <v>42</v>
      </c>
      <c r="E58">
        <v>7</v>
      </c>
      <c r="F58">
        <v>4430</v>
      </c>
      <c r="G58">
        <v>31010</v>
      </c>
    </row>
    <row r="59" spans="1:7" x14ac:dyDescent="0.2">
      <c r="A59">
        <v>58</v>
      </c>
      <c r="B59" t="s">
        <v>145</v>
      </c>
      <c r="C59" t="s">
        <v>32</v>
      </c>
      <c r="D59" t="s">
        <v>42</v>
      </c>
      <c r="E59">
        <v>27</v>
      </c>
      <c r="F59">
        <v>4110</v>
      </c>
    </row>
    <row r="60" spans="1:7" x14ac:dyDescent="0.2">
      <c r="A60">
        <v>59</v>
      </c>
      <c r="B60" t="s">
        <v>146</v>
      </c>
      <c r="C60" t="s">
        <v>46</v>
      </c>
      <c r="D60" t="s">
        <v>33</v>
      </c>
      <c r="E60">
        <v>27</v>
      </c>
      <c r="F60">
        <v>19700</v>
      </c>
      <c r="G60">
        <v>531900</v>
      </c>
    </row>
    <row r="61" spans="1:7" x14ac:dyDescent="0.2">
      <c r="A61">
        <v>60</v>
      </c>
      <c r="B61" t="s">
        <v>146</v>
      </c>
      <c r="C61" t="s">
        <v>36</v>
      </c>
      <c r="D61" t="s">
        <v>51</v>
      </c>
      <c r="E61">
        <v>14</v>
      </c>
      <c r="F61">
        <v>14560</v>
      </c>
      <c r="G61">
        <v>203840</v>
      </c>
    </row>
    <row r="62" spans="1:7" x14ac:dyDescent="0.2">
      <c r="A62">
        <v>61</v>
      </c>
      <c r="B62" t="s">
        <v>147</v>
      </c>
      <c r="C62" t="s">
        <v>41</v>
      </c>
      <c r="D62" t="s">
        <v>37</v>
      </c>
      <c r="E62">
        <v>24</v>
      </c>
      <c r="F62">
        <v>3700</v>
      </c>
      <c r="G62">
        <v>88800</v>
      </c>
    </row>
    <row r="63" spans="1:7" x14ac:dyDescent="0.2">
      <c r="A63">
        <v>62</v>
      </c>
      <c r="B63" t="s">
        <v>147</v>
      </c>
      <c r="C63" t="s">
        <v>41</v>
      </c>
      <c r="D63" t="s">
        <v>35</v>
      </c>
      <c r="E63">
        <v>38</v>
      </c>
      <c r="F63">
        <v>3180</v>
      </c>
      <c r="G63">
        <v>120840</v>
      </c>
    </row>
    <row r="64" spans="1:7" x14ac:dyDescent="0.2">
      <c r="A64">
        <v>63</v>
      </c>
      <c r="B64" t="s">
        <v>148</v>
      </c>
      <c r="C64" t="s">
        <v>34</v>
      </c>
      <c r="D64" t="s">
        <v>37</v>
      </c>
      <c r="E64">
        <v>35</v>
      </c>
      <c r="F64">
        <v>3580</v>
      </c>
      <c r="G64">
        <v>125300</v>
      </c>
    </row>
    <row r="65" spans="1:7" x14ac:dyDescent="0.2">
      <c r="A65">
        <v>64</v>
      </c>
      <c r="B65" t="s">
        <v>148</v>
      </c>
      <c r="C65" t="s">
        <v>45</v>
      </c>
      <c r="D65" t="s">
        <v>35</v>
      </c>
      <c r="E65">
        <v>24</v>
      </c>
      <c r="F65">
        <v>3350</v>
      </c>
      <c r="G65">
        <v>80400</v>
      </c>
    </row>
    <row r="66" spans="1:7" x14ac:dyDescent="0.2">
      <c r="A66">
        <v>65</v>
      </c>
      <c r="B66" t="s">
        <v>149</v>
      </c>
      <c r="C66" t="s">
        <v>50</v>
      </c>
      <c r="D66" t="s">
        <v>40</v>
      </c>
      <c r="E66">
        <v>38</v>
      </c>
      <c r="F66">
        <v>5920</v>
      </c>
      <c r="G66">
        <v>224960</v>
      </c>
    </row>
    <row r="67" spans="1:7" x14ac:dyDescent="0.2">
      <c r="A67">
        <v>66</v>
      </c>
      <c r="B67" t="s">
        <v>149</v>
      </c>
      <c r="C67" t="s">
        <v>38</v>
      </c>
      <c r="D67" t="s">
        <v>33</v>
      </c>
      <c r="E67">
        <v>22</v>
      </c>
      <c r="F67">
        <v>17670</v>
      </c>
      <c r="G67">
        <v>388740</v>
      </c>
    </row>
    <row r="68" spans="1:7" x14ac:dyDescent="0.2">
      <c r="A68">
        <v>67</v>
      </c>
      <c r="B68" t="s">
        <v>150</v>
      </c>
      <c r="C68" t="s">
        <v>46</v>
      </c>
      <c r="D68" t="s">
        <v>44</v>
      </c>
      <c r="E68">
        <v>6</v>
      </c>
      <c r="F68">
        <v>3980</v>
      </c>
      <c r="G68">
        <v>23880</v>
      </c>
    </row>
    <row r="69" spans="1:7" x14ac:dyDescent="0.2">
      <c r="A69">
        <v>68</v>
      </c>
      <c r="B69" t="s">
        <v>150</v>
      </c>
      <c r="C69" t="s">
        <v>36</v>
      </c>
      <c r="D69" t="s">
        <v>42</v>
      </c>
      <c r="E69">
        <v>40</v>
      </c>
      <c r="F69">
        <v>4370</v>
      </c>
      <c r="G69">
        <v>174800</v>
      </c>
    </row>
    <row r="70" spans="1:7" x14ac:dyDescent="0.2">
      <c r="A70">
        <v>69</v>
      </c>
      <c r="B70" t="s">
        <v>150</v>
      </c>
      <c r="C70" t="s">
        <v>46</v>
      </c>
      <c r="D70" t="s">
        <v>39</v>
      </c>
      <c r="E70">
        <v>26</v>
      </c>
      <c r="F70">
        <v>2480</v>
      </c>
      <c r="G70">
        <v>64480</v>
      </c>
    </row>
    <row r="71" spans="1:7" x14ac:dyDescent="0.2">
      <c r="A71">
        <v>70</v>
      </c>
      <c r="B71" t="s">
        <v>151</v>
      </c>
      <c r="C71" t="s">
        <v>34</v>
      </c>
      <c r="D71" t="s">
        <v>44</v>
      </c>
      <c r="E71">
        <v>33</v>
      </c>
      <c r="F71">
        <v>3960</v>
      </c>
      <c r="G71">
        <v>130680</v>
      </c>
    </row>
    <row r="72" spans="1:7" x14ac:dyDescent="0.2">
      <c r="A72">
        <v>71</v>
      </c>
      <c r="B72" t="s">
        <v>151</v>
      </c>
      <c r="C72" t="s">
        <v>50</v>
      </c>
      <c r="D72" t="s">
        <v>40</v>
      </c>
      <c r="E72">
        <v>32</v>
      </c>
      <c r="F72">
        <v>5590</v>
      </c>
      <c r="G72">
        <v>178880</v>
      </c>
    </row>
    <row r="73" spans="1:7" x14ac:dyDescent="0.2">
      <c r="A73">
        <v>72</v>
      </c>
      <c r="B73" t="s">
        <v>151</v>
      </c>
      <c r="C73" t="s">
        <v>34</v>
      </c>
      <c r="D73" t="s">
        <v>37</v>
      </c>
      <c r="E73">
        <v>1</v>
      </c>
      <c r="F73">
        <v>3370</v>
      </c>
      <c r="G73">
        <v>3370</v>
      </c>
    </row>
    <row r="74" spans="1:7" x14ac:dyDescent="0.2">
      <c r="A74">
        <v>73</v>
      </c>
      <c r="B74" t="s">
        <v>152</v>
      </c>
      <c r="C74" t="s">
        <v>45</v>
      </c>
      <c r="D74" t="s">
        <v>33</v>
      </c>
      <c r="E74">
        <v>30</v>
      </c>
      <c r="F74">
        <v>18300</v>
      </c>
      <c r="G74">
        <v>549000</v>
      </c>
    </row>
    <row r="75" spans="1:7" x14ac:dyDescent="0.2">
      <c r="A75">
        <v>74</v>
      </c>
      <c r="B75" t="s">
        <v>152</v>
      </c>
      <c r="C75" t="s">
        <v>49</v>
      </c>
      <c r="D75" t="s">
        <v>40</v>
      </c>
      <c r="E75">
        <v>29</v>
      </c>
      <c r="F75">
        <v>5520</v>
      </c>
      <c r="G75">
        <v>160080</v>
      </c>
    </row>
    <row r="76" spans="1:7" x14ac:dyDescent="0.2">
      <c r="A76">
        <v>75</v>
      </c>
      <c r="B76" t="s">
        <v>153</v>
      </c>
      <c r="C76" t="s">
        <v>50</v>
      </c>
      <c r="D76" t="s">
        <v>48</v>
      </c>
      <c r="E76">
        <v>39</v>
      </c>
      <c r="F76">
        <v>1810</v>
      </c>
      <c r="G76">
        <v>70590</v>
      </c>
    </row>
    <row r="77" spans="1:7" x14ac:dyDescent="0.2">
      <c r="A77">
        <v>76</v>
      </c>
      <c r="B77" t="s">
        <v>153</v>
      </c>
      <c r="C77" t="s">
        <v>50</v>
      </c>
      <c r="D77" t="s">
        <v>40</v>
      </c>
      <c r="E77">
        <v>31</v>
      </c>
      <c r="F77">
        <v>5990</v>
      </c>
      <c r="G77">
        <v>185690</v>
      </c>
    </row>
    <row r="78" spans="1:7" x14ac:dyDescent="0.2">
      <c r="A78">
        <v>77</v>
      </c>
      <c r="B78" t="s">
        <v>154</v>
      </c>
      <c r="C78" t="s">
        <v>47</v>
      </c>
      <c r="D78" t="s">
        <v>43</v>
      </c>
      <c r="E78">
        <v>3</v>
      </c>
      <c r="F78">
        <v>5350</v>
      </c>
      <c r="G78">
        <v>16050</v>
      </c>
    </row>
    <row r="79" spans="1:7" x14ac:dyDescent="0.2">
      <c r="A79">
        <v>78</v>
      </c>
      <c r="B79" t="s">
        <v>154</v>
      </c>
      <c r="C79" t="s">
        <v>45</v>
      </c>
      <c r="D79" t="s">
        <v>44</v>
      </c>
      <c r="E79">
        <v>20</v>
      </c>
      <c r="F79">
        <v>3930</v>
      </c>
      <c r="G79">
        <v>78600</v>
      </c>
    </row>
    <row r="80" spans="1:7" x14ac:dyDescent="0.2">
      <c r="A80">
        <v>79</v>
      </c>
      <c r="B80" t="s">
        <v>155</v>
      </c>
      <c r="C80" t="s">
        <v>46</v>
      </c>
      <c r="D80" t="s">
        <v>40</v>
      </c>
      <c r="E80">
        <v>13</v>
      </c>
      <c r="F80">
        <v>5560</v>
      </c>
      <c r="G80">
        <v>72280</v>
      </c>
    </row>
    <row r="81" spans="1:7" x14ac:dyDescent="0.2">
      <c r="A81">
        <v>80</v>
      </c>
      <c r="B81" t="s">
        <v>156</v>
      </c>
      <c r="C81" t="s">
        <v>50</v>
      </c>
      <c r="D81" t="s">
        <v>33</v>
      </c>
      <c r="E81">
        <v>5</v>
      </c>
      <c r="F81">
        <v>17970</v>
      </c>
      <c r="G81">
        <v>89850</v>
      </c>
    </row>
    <row r="82" spans="1:7" x14ac:dyDescent="0.2">
      <c r="A82">
        <v>81</v>
      </c>
      <c r="B82" t="s">
        <v>156</v>
      </c>
      <c r="C82" t="s">
        <v>36</v>
      </c>
      <c r="D82" t="s">
        <v>39</v>
      </c>
      <c r="E82">
        <v>9</v>
      </c>
      <c r="F82">
        <v>2590</v>
      </c>
      <c r="G82">
        <v>23310</v>
      </c>
    </row>
    <row r="83" spans="1:7" x14ac:dyDescent="0.2">
      <c r="A83">
        <v>82</v>
      </c>
      <c r="B83" t="s">
        <v>157</v>
      </c>
      <c r="C83" t="s">
        <v>49</v>
      </c>
      <c r="D83" t="s">
        <v>39</v>
      </c>
      <c r="E83">
        <v>1</v>
      </c>
      <c r="F83">
        <v>2660</v>
      </c>
      <c r="G83">
        <v>2660</v>
      </c>
    </row>
    <row r="84" spans="1:7" x14ac:dyDescent="0.2">
      <c r="A84">
        <v>83</v>
      </c>
      <c r="B84" t="s">
        <v>157</v>
      </c>
      <c r="C84" t="s">
        <v>32</v>
      </c>
      <c r="D84" t="s">
        <v>33</v>
      </c>
      <c r="E84">
        <v>18</v>
      </c>
      <c r="F84">
        <v>17560</v>
      </c>
      <c r="G84">
        <v>316080</v>
      </c>
    </row>
    <row r="85" spans="1:7" x14ac:dyDescent="0.2">
      <c r="A85">
        <v>84</v>
      </c>
      <c r="B85" t="s">
        <v>157</v>
      </c>
      <c r="C85" t="s">
        <v>49</v>
      </c>
      <c r="D85" t="s">
        <v>44</v>
      </c>
      <c r="E85">
        <v>16</v>
      </c>
      <c r="F85">
        <v>4140</v>
      </c>
      <c r="G85">
        <v>66240</v>
      </c>
    </row>
    <row r="86" spans="1:7" x14ac:dyDescent="0.2">
      <c r="A86">
        <v>85</v>
      </c>
      <c r="B86" t="s">
        <v>157</v>
      </c>
      <c r="C86" t="s">
        <v>49</v>
      </c>
      <c r="D86" t="s">
        <v>44</v>
      </c>
      <c r="E86">
        <v>24</v>
      </c>
      <c r="F86">
        <v>4170</v>
      </c>
      <c r="G86">
        <v>100080</v>
      </c>
    </row>
    <row r="87" spans="1:7" x14ac:dyDescent="0.2">
      <c r="A87">
        <v>86</v>
      </c>
      <c r="B87" t="s">
        <v>157</v>
      </c>
      <c r="C87" t="s">
        <v>41</v>
      </c>
      <c r="D87" t="s">
        <v>51</v>
      </c>
      <c r="E87">
        <v>5</v>
      </c>
      <c r="F87">
        <v>15470</v>
      </c>
      <c r="G87">
        <v>77350</v>
      </c>
    </row>
    <row r="88" spans="1:7" x14ac:dyDescent="0.2">
      <c r="A88">
        <v>87</v>
      </c>
      <c r="B88" t="s">
        <v>158</v>
      </c>
      <c r="C88" t="s">
        <v>41</v>
      </c>
      <c r="D88" t="s">
        <v>48</v>
      </c>
      <c r="E88">
        <v>7</v>
      </c>
      <c r="F88">
        <v>1680</v>
      </c>
      <c r="G88">
        <v>11760</v>
      </c>
    </row>
    <row r="89" spans="1:7" x14ac:dyDescent="0.2">
      <c r="A89">
        <v>88</v>
      </c>
      <c r="B89" t="s">
        <v>158</v>
      </c>
      <c r="C89" t="s">
        <v>47</v>
      </c>
      <c r="D89" t="s">
        <v>48</v>
      </c>
      <c r="E89">
        <v>26</v>
      </c>
      <c r="F89">
        <v>1860</v>
      </c>
      <c r="G89">
        <v>48360</v>
      </c>
    </row>
    <row r="90" spans="1:7" x14ac:dyDescent="0.2">
      <c r="A90">
        <v>89</v>
      </c>
      <c r="B90" t="s">
        <v>159</v>
      </c>
      <c r="C90" t="s">
        <v>32</v>
      </c>
      <c r="D90" t="s">
        <v>40</v>
      </c>
      <c r="E90">
        <v>9</v>
      </c>
      <c r="F90">
        <v>5160</v>
      </c>
      <c r="G90">
        <v>46440</v>
      </c>
    </row>
    <row r="91" spans="1:7" x14ac:dyDescent="0.2">
      <c r="A91">
        <v>90</v>
      </c>
      <c r="B91" t="s">
        <v>160</v>
      </c>
      <c r="C91" t="s">
        <v>41</v>
      </c>
      <c r="D91" t="s">
        <v>43</v>
      </c>
      <c r="E91">
        <v>16</v>
      </c>
      <c r="F91">
        <v>5020</v>
      </c>
      <c r="G91">
        <v>80320</v>
      </c>
    </row>
    <row r="92" spans="1:7" x14ac:dyDescent="0.2">
      <c r="A92">
        <v>91</v>
      </c>
      <c r="B92" t="s">
        <v>160</v>
      </c>
      <c r="C92" t="s">
        <v>34</v>
      </c>
      <c r="D92" t="s">
        <v>51</v>
      </c>
      <c r="E92">
        <v>22</v>
      </c>
      <c r="F92">
        <v>14680</v>
      </c>
      <c r="G92">
        <v>322960</v>
      </c>
    </row>
    <row r="93" spans="1:7" x14ac:dyDescent="0.2">
      <c r="A93">
        <v>92</v>
      </c>
      <c r="C93" t="s">
        <v>49</v>
      </c>
      <c r="D93" t="s">
        <v>40</v>
      </c>
      <c r="E93">
        <v>30</v>
      </c>
      <c r="F93">
        <v>5360</v>
      </c>
      <c r="G93">
        <v>160800</v>
      </c>
    </row>
    <row r="94" spans="1:7" x14ac:dyDescent="0.2">
      <c r="A94">
        <v>93</v>
      </c>
      <c r="B94" t="s">
        <v>161</v>
      </c>
      <c r="C94" t="s">
        <v>50</v>
      </c>
      <c r="D94" t="s">
        <v>40</v>
      </c>
      <c r="E94">
        <v>34</v>
      </c>
      <c r="F94">
        <v>5390</v>
      </c>
      <c r="G94">
        <v>183260</v>
      </c>
    </row>
    <row r="95" spans="1:7" x14ac:dyDescent="0.2">
      <c r="A95">
        <v>94</v>
      </c>
      <c r="B95" t="s">
        <v>161</v>
      </c>
      <c r="C95" t="s">
        <v>49</v>
      </c>
      <c r="D95" t="s">
        <v>33</v>
      </c>
      <c r="E95">
        <v>6</v>
      </c>
      <c r="F95">
        <v>17510</v>
      </c>
      <c r="G95">
        <v>105060</v>
      </c>
    </row>
    <row r="96" spans="1:7" x14ac:dyDescent="0.2">
      <c r="A96">
        <v>95</v>
      </c>
      <c r="B96" t="s">
        <v>162</v>
      </c>
      <c r="C96" t="s">
        <v>47</v>
      </c>
      <c r="D96" t="s">
        <v>42</v>
      </c>
      <c r="E96">
        <v>35</v>
      </c>
      <c r="F96">
        <v>4540</v>
      </c>
      <c r="G96">
        <v>158900</v>
      </c>
    </row>
    <row r="97" spans="1:7" x14ac:dyDescent="0.2">
      <c r="A97">
        <v>96</v>
      </c>
      <c r="B97" t="s">
        <v>163</v>
      </c>
      <c r="C97" t="s">
        <v>32</v>
      </c>
      <c r="D97" t="s">
        <v>37</v>
      </c>
      <c r="E97">
        <v>37</v>
      </c>
      <c r="F97">
        <v>3680</v>
      </c>
      <c r="G97">
        <v>136160</v>
      </c>
    </row>
    <row r="98" spans="1:7" x14ac:dyDescent="0.2">
      <c r="A98">
        <v>97</v>
      </c>
      <c r="B98" t="s">
        <v>164</v>
      </c>
      <c r="C98" t="s">
        <v>32</v>
      </c>
      <c r="D98" t="s">
        <v>33</v>
      </c>
      <c r="E98">
        <v>11</v>
      </c>
      <c r="F98">
        <v>18700</v>
      </c>
      <c r="G98">
        <v>205700</v>
      </c>
    </row>
    <row r="99" spans="1:7" x14ac:dyDescent="0.2">
      <c r="A99">
        <v>98</v>
      </c>
      <c r="B99" t="s">
        <v>164</v>
      </c>
      <c r="C99" t="s">
        <v>45</v>
      </c>
      <c r="D99" t="s">
        <v>51</v>
      </c>
      <c r="E99">
        <v>17</v>
      </c>
      <c r="F99">
        <v>14620</v>
      </c>
      <c r="G99">
        <v>248540</v>
      </c>
    </row>
    <row r="100" spans="1:7" x14ac:dyDescent="0.2">
      <c r="A100">
        <v>99</v>
      </c>
      <c r="B100" t="s">
        <v>164</v>
      </c>
      <c r="C100" t="s">
        <v>41</v>
      </c>
      <c r="D100" t="s">
        <v>51</v>
      </c>
      <c r="E100">
        <v>29</v>
      </c>
      <c r="F100">
        <v>13670</v>
      </c>
      <c r="G100">
        <v>396430</v>
      </c>
    </row>
    <row r="101" spans="1:7" x14ac:dyDescent="0.2">
      <c r="A101">
        <v>100</v>
      </c>
      <c r="B101" t="s">
        <v>164</v>
      </c>
      <c r="C101" t="s">
        <v>50</v>
      </c>
      <c r="D101" t="s">
        <v>44</v>
      </c>
      <c r="E101">
        <v>14</v>
      </c>
      <c r="F101">
        <v>3680</v>
      </c>
      <c r="G101">
        <v>51520</v>
      </c>
    </row>
    <row r="102" spans="1:7" x14ac:dyDescent="0.2">
      <c r="A102">
        <v>101</v>
      </c>
      <c r="B102" t="s">
        <v>165</v>
      </c>
      <c r="C102" t="s">
        <v>32</v>
      </c>
      <c r="D102" t="s">
        <v>35</v>
      </c>
      <c r="E102">
        <v>13</v>
      </c>
      <c r="F102">
        <v>3110</v>
      </c>
      <c r="G102">
        <v>40430</v>
      </c>
    </row>
    <row r="103" spans="1:7" x14ac:dyDescent="0.2">
      <c r="A103">
        <v>102</v>
      </c>
      <c r="B103" t="s">
        <v>166</v>
      </c>
      <c r="C103" t="s">
        <v>32</v>
      </c>
      <c r="D103" t="s">
        <v>51</v>
      </c>
      <c r="E103">
        <v>31</v>
      </c>
      <c r="F103">
        <v>14570</v>
      </c>
      <c r="G103">
        <v>451670</v>
      </c>
    </row>
    <row r="104" spans="1:7" x14ac:dyDescent="0.2">
      <c r="A104">
        <v>103</v>
      </c>
      <c r="B104" t="s">
        <v>167</v>
      </c>
      <c r="C104" t="s">
        <v>34</v>
      </c>
      <c r="D104" t="s">
        <v>35</v>
      </c>
      <c r="E104">
        <v>8</v>
      </c>
      <c r="F104">
        <v>3250</v>
      </c>
      <c r="G104">
        <v>26000</v>
      </c>
    </row>
    <row r="105" spans="1:7" x14ac:dyDescent="0.2">
      <c r="A105">
        <v>104</v>
      </c>
      <c r="B105" t="s">
        <v>168</v>
      </c>
      <c r="C105" t="s">
        <v>36</v>
      </c>
      <c r="D105" t="s">
        <v>35</v>
      </c>
      <c r="E105">
        <v>33</v>
      </c>
      <c r="F105">
        <v>3170</v>
      </c>
      <c r="G105">
        <v>104610</v>
      </c>
    </row>
    <row r="106" spans="1:7" x14ac:dyDescent="0.2">
      <c r="A106">
        <v>105</v>
      </c>
      <c r="B106" t="s">
        <v>168</v>
      </c>
      <c r="C106" t="s">
        <v>38</v>
      </c>
      <c r="D106" t="s">
        <v>51</v>
      </c>
      <c r="E106">
        <v>5</v>
      </c>
      <c r="F106">
        <v>15290</v>
      </c>
      <c r="G106">
        <v>76450</v>
      </c>
    </row>
    <row r="107" spans="1:7" x14ac:dyDescent="0.2">
      <c r="A107">
        <v>106</v>
      </c>
      <c r="B107" t="s">
        <v>168</v>
      </c>
      <c r="C107" t="s">
        <v>46</v>
      </c>
      <c r="D107" t="s">
        <v>44</v>
      </c>
      <c r="E107">
        <v>36</v>
      </c>
      <c r="F107">
        <v>4120</v>
      </c>
      <c r="G107">
        <v>148320</v>
      </c>
    </row>
    <row r="108" spans="1:7" x14ac:dyDescent="0.2">
      <c r="A108">
        <v>107</v>
      </c>
      <c r="B108" t="s">
        <v>169</v>
      </c>
      <c r="C108" t="s">
        <v>50</v>
      </c>
      <c r="D108" t="s">
        <v>40</v>
      </c>
      <c r="E108">
        <v>25</v>
      </c>
      <c r="F108">
        <v>5530</v>
      </c>
      <c r="G108">
        <v>138250</v>
      </c>
    </row>
    <row r="109" spans="1:7" x14ac:dyDescent="0.2">
      <c r="A109">
        <v>108</v>
      </c>
      <c r="C109" t="s">
        <v>46</v>
      </c>
      <c r="D109" t="s">
        <v>43</v>
      </c>
      <c r="E109">
        <v>36</v>
      </c>
      <c r="F109">
        <v>5520</v>
      </c>
      <c r="G109">
        <v>198720</v>
      </c>
    </row>
    <row r="110" spans="1:7" x14ac:dyDescent="0.2">
      <c r="A110">
        <v>109</v>
      </c>
      <c r="B110" t="s">
        <v>170</v>
      </c>
      <c r="C110" t="s">
        <v>36</v>
      </c>
      <c r="D110" t="s">
        <v>37</v>
      </c>
      <c r="E110">
        <v>28</v>
      </c>
      <c r="F110">
        <v>3380</v>
      </c>
      <c r="G110">
        <v>94640</v>
      </c>
    </row>
    <row r="111" spans="1:7" x14ac:dyDescent="0.2">
      <c r="A111">
        <v>110</v>
      </c>
      <c r="B111" t="s">
        <v>170</v>
      </c>
      <c r="C111" t="s">
        <v>34</v>
      </c>
      <c r="D111" t="s">
        <v>43</v>
      </c>
      <c r="E111">
        <v>25</v>
      </c>
      <c r="F111">
        <v>4810</v>
      </c>
      <c r="G111">
        <v>120250</v>
      </c>
    </row>
    <row r="112" spans="1:7" x14ac:dyDescent="0.2">
      <c r="A112">
        <v>111</v>
      </c>
      <c r="B112" t="s">
        <v>170</v>
      </c>
      <c r="C112" t="s">
        <v>50</v>
      </c>
      <c r="D112" t="s">
        <v>44</v>
      </c>
      <c r="E112">
        <v>17</v>
      </c>
      <c r="F112">
        <v>4090</v>
      </c>
      <c r="G112">
        <v>69530</v>
      </c>
    </row>
    <row r="113" spans="1:7" x14ac:dyDescent="0.2">
      <c r="A113">
        <v>112</v>
      </c>
      <c r="B113" t="s">
        <v>170</v>
      </c>
      <c r="C113" t="s">
        <v>47</v>
      </c>
      <c r="D113" t="s">
        <v>35</v>
      </c>
      <c r="E113">
        <v>1</v>
      </c>
      <c r="F113">
        <v>3220</v>
      </c>
      <c r="G113">
        <v>3220</v>
      </c>
    </row>
    <row r="114" spans="1:7" x14ac:dyDescent="0.2">
      <c r="A114">
        <v>113</v>
      </c>
      <c r="B114" t="s">
        <v>171</v>
      </c>
      <c r="C114" t="s">
        <v>50</v>
      </c>
      <c r="D114" t="s">
        <v>42</v>
      </c>
      <c r="E114">
        <v>35</v>
      </c>
      <c r="F114">
        <v>4110</v>
      </c>
      <c r="G114">
        <v>143850</v>
      </c>
    </row>
    <row r="115" spans="1:7" x14ac:dyDescent="0.2">
      <c r="A115">
        <v>114</v>
      </c>
      <c r="B115" t="s">
        <v>171</v>
      </c>
      <c r="C115" t="s">
        <v>38</v>
      </c>
      <c r="D115" t="s">
        <v>37</v>
      </c>
      <c r="E115">
        <v>35</v>
      </c>
      <c r="F115">
        <v>3860</v>
      </c>
      <c r="G115">
        <v>135100</v>
      </c>
    </row>
    <row r="116" spans="1:7" x14ac:dyDescent="0.2">
      <c r="A116">
        <v>115</v>
      </c>
      <c r="B116" t="s">
        <v>171</v>
      </c>
      <c r="C116" t="s">
        <v>32</v>
      </c>
      <c r="D116" t="s">
        <v>44</v>
      </c>
      <c r="E116">
        <v>38</v>
      </c>
      <c r="F116">
        <v>3600</v>
      </c>
      <c r="G116">
        <v>136800</v>
      </c>
    </row>
    <row r="117" spans="1:7" x14ac:dyDescent="0.2">
      <c r="A117">
        <v>116</v>
      </c>
      <c r="B117" t="s">
        <v>171</v>
      </c>
      <c r="C117" t="s">
        <v>32</v>
      </c>
      <c r="D117" t="s">
        <v>51</v>
      </c>
      <c r="E117">
        <v>30</v>
      </c>
      <c r="F117">
        <v>13370</v>
      </c>
      <c r="G117">
        <v>401100</v>
      </c>
    </row>
    <row r="118" spans="1:7" x14ac:dyDescent="0.2">
      <c r="A118">
        <v>117</v>
      </c>
      <c r="B118" t="s">
        <v>171</v>
      </c>
      <c r="C118" t="s">
        <v>32</v>
      </c>
      <c r="D118" t="s">
        <v>51</v>
      </c>
      <c r="E118">
        <v>18</v>
      </c>
      <c r="F118">
        <v>14390</v>
      </c>
      <c r="G118">
        <v>259020</v>
      </c>
    </row>
    <row r="119" spans="1:7" x14ac:dyDescent="0.2">
      <c r="A119">
        <v>118</v>
      </c>
      <c r="B119" t="s">
        <v>172</v>
      </c>
      <c r="C119" t="s">
        <v>45</v>
      </c>
      <c r="D119" t="s">
        <v>37</v>
      </c>
      <c r="E119">
        <v>19</v>
      </c>
      <c r="F119">
        <v>3390</v>
      </c>
      <c r="G119">
        <v>64410</v>
      </c>
    </row>
    <row r="120" spans="1:7" x14ac:dyDescent="0.2">
      <c r="A120">
        <v>119</v>
      </c>
      <c r="B120" t="s">
        <v>172</v>
      </c>
      <c r="C120" t="s">
        <v>34</v>
      </c>
      <c r="D120" t="s">
        <v>44</v>
      </c>
      <c r="E120">
        <v>16</v>
      </c>
      <c r="F120">
        <v>4010</v>
      </c>
      <c r="G120">
        <v>64160</v>
      </c>
    </row>
    <row r="121" spans="1:7" x14ac:dyDescent="0.2">
      <c r="A121">
        <v>120</v>
      </c>
      <c r="B121" t="s">
        <v>173</v>
      </c>
      <c r="C121" t="s">
        <v>50</v>
      </c>
      <c r="D121" t="s">
        <v>40</v>
      </c>
      <c r="E121">
        <v>7</v>
      </c>
      <c r="F121">
        <v>5660</v>
      </c>
      <c r="G121">
        <v>39620</v>
      </c>
    </row>
    <row r="122" spans="1:7" x14ac:dyDescent="0.2">
      <c r="A122">
        <v>121</v>
      </c>
      <c r="B122" t="s">
        <v>174</v>
      </c>
      <c r="C122" t="s">
        <v>46</v>
      </c>
      <c r="D122" t="s">
        <v>33</v>
      </c>
      <c r="E122">
        <v>24</v>
      </c>
      <c r="F122">
        <v>20010</v>
      </c>
      <c r="G122">
        <v>480240</v>
      </c>
    </row>
    <row r="123" spans="1:7" x14ac:dyDescent="0.2">
      <c r="A123">
        <v>122</v>
      </c>
      <c r="B123" t="s">
        <v>174</v>
      </c>
      <c r="C123" t="s">
        <v>32</v>
      </c>
      <c r="D123" t="s">
        <v>40</v>
      </c>
      <c r="E123">
        <v>34</v>
      </c>
      <c r="F123">
        <v>5550</v>
      </c>
      <c r="G123">
        <v>188700</v>
      </c>
    </row>
    <row r="124" spans="1:7" x14ac:dyDescent="0.2">
      <c r="A124">
        <v>123</v>
      </c>
      <c r="B124" t="s">
        <v>175</v>
      </c>
      <c r="C124" t="s">
        <v>32</v>
      </c>
      <c r="D124" t="s">
        <v>48</v>
      </c>
      <c r="E124">
        <v>28</v>
      </c>
      <c r="F124">
        <v>1900</v>
      </c>
      <c r="G124">
        <v>53200</v>
      </c>
    </row>
    <row r="125" spans="1:7" x14ac:dyDescent="0.2">
      <c r="A125">
        <v>124</v>
      </c>
      <c r="B125" t="s">
        <v>175</v>
      </c>
      <c r="C125" t="s">
        <v>47</v>
      </c>
      <c r="D125" t="s">
        <v>37</v>
      </c>
      <c r="E125">
        <v>18</v>
      </c>
      <c r="F125">
        <v>3790</v>
      </c>
      <c r="G125">
        <v>68220</v>
      </c>
    </row>
    <row r="126" spans="1:7" x14ac:dyDescent="0.2">
      <c r="A126">
        <v>125</v>
      </c>
      <c r="B126" t="s">
        <v>176</v>
      </c>
      <c r="C126" t="s">
        <v>38</v>
      </c>
      <c r="D126" t="s">
        <v>40</v>
      </c>
      <c r="E126">
        <v>14</v>
      </c>
      <c r="F126">
        <v>5190</v>
      </c>
      <c r="G126">
        <v>72660</v>
      </c>
    </row>
    <row r="127" spans="1:7" x14ac:dyDescent="0.2">
      <c r="A127">
        <v>126</v>
      </c>
      <c r="B127" t="s">
        <v>176</v>
      </c>
      <c r="C127" t="s">
        <v>47</v>
      </c>
      <c r="D127" t="s">
        <v>39</v>
      </c>
      <c r="E127">
        <v>3</v>
      </c>
      <c r="F127">
        <v>2690</v>
      </c>
      <c r="G127">
        <v>8070</v>
      </c>
    </row>
    <row r="128" spans="1:7" x14ac:dyDescent="0.2">
      <c r="A128">
        <v>127</v>
      </c>
      <c r="B128" t="s">
        <v>176</v>
      </c>
      <c r="D128" t="s">
        <v>33</v>
      </c>
      <c r="E128">
        <v>14</v>
      </c>
      <c r="F128">
        <v>19270</v>
      </c>
      <c r="G128">
        <v>269780</v>
      </c>
    </row>
    <row r="129" spans="1:7" x14ac:dyDescent="0.2">
      <c r="A129">
        <v>128</v>
      </c>
      <c r="B129" t="s">
        <v>176</v>
      </c>
      <c r="C129" t="s">
        <v>50</v>
      </c>
      <c r="D129" t="s">
        <v>33</v>
      </c>
      <c r="E129">
        <v>39</v>
      </c>
      <c r="F129">
        <v>18690</v>
      </c>
      <c r="G129">
        <v>728910</v>
      </c>
    </row>
    <row r="130" spans="1:7" x14ac:dyDescent="0.2">
      <c r="A130">
        <v>129</v>
      </c>
      <c r="B130" t="s">
        <v>176</v>
      </c>
      <c r="C130" t="s">
        <v>47</v>
      </c>
      <c r="D130" t="s">
        <v>37</v>
      </c>
      <c r="E130">
        <v>18</v>
      </c>
      <c r="F130">
        <v>3350</v>
      </c>
      <c r="G130">
        <v>60300</v>
      </c>
    </row>
    <row r="131" spans="1:7" x14ac:dyDescent="0.2">
      <c r="A131">
        <v>130</v>
      </c>
      <c r="B131" t="s">
        <v>177</v>
      </c>
      <c r="C131" t="s">
        <v>45</v>
      </c>
      <c r="D131" t="s">
        <v>39</v>
      </c>
      <c r="E131">
        <v>2</v>
      </c>
      <c r="F131">
        <v>2730</v>
      </c>
      <c r="G131">
        <v>5460</v>
      </c>
    </row>
    <row r="132" spans="1:7" x14ac:dyDescent="0.2">
      <c r="A132">
        <v>131</v>
      </c>
      <c r="B132" t="s">
        <v>177</v>
      </c>
      <c r="C132" t="s">
        <v>38</v>
      </c>
      <c r="D132" t="s">
        <v>42</v>
      </c>
      <c r="E132">
        <v>34</v>
      </c>
      <c r="F132">
        <v>4470</v>
      </c>
      <c r="G132">
        <v>151980</v>
      </c>
    </row>
    <row r="133" spans="1:7" x14ac:dyDescent="0.2">
      <c r="A133">
        <v>132</v>
      </c>
      <c r="B133" t="s">
        <v>177</v>
      </c>
      <c r="C133" t="s">
        <v>36</v>
      </c>
      <c r="D133" t="s">
        <v>33</v>
      </c>
      <c r="E133">
        <v>20</v>
      </c>
      <c r="F133">
        <v>19140</v>
      </c>
      <c r="G133">
        <v>382800</v>
      </c>
    </row>
    <row r="134" spans="1:7" x14ac:dyDescent="0.2">
      <c r="A134">
        <v>133</v>
      </c>
      <c r="B134" t="s">
        <v>177</v>
      </c>
      <c r="C134" t="s">
        <v>32</v>
      </c>
      <c r="D134" t="s">
        <v>39</v>
      </c>
      <c r="E134">
        <v>37</v>
      </c>
      <c r="F134">
        <v>2740</v>
      </c>
      <c r="G134">
        <v>101380</v>
      </c>
    </row>
    <row r="135" spans="1:7" x14ac:dyDescent="0.2">
      <c r="A135">
        <v>134</v>
      </c>
      <c r="B135" t="s">
        <v>177</v>
      </c>
      <c r="C135" t="s">
        <v>36</v>
      </c>
      <c r="D135" t="s">
        <v>48</v>
      </c>
      <c r="E135">
        <v>32</v>
      </c>
      <c r="F135">
        <v>1900</v>
      </c>
      <c r="G135">
        <v>60800</v>
      </c>
    </row>
    <row r="136" spans="1:7" x14ac:dyDescent="0.2">
      <c r="A136">
        <v>135</v>
      </c>
      <c r="B136" t="s">
        <v>178</v>
      </c>
      <c r="C136" t="s">
        <v>50</v>
      </c>
      <c r="D136" t="s">
        <v>35</v>
      </c>
      <c r="E136">
        <v>20</v>
      </c>
      <c r="F136">
        <v>3340</v>
      </c>
      <c r="G136">
        <v>66800</v>
      </c>
    </row>
    <row r="137" spans="1:7" x14ac:dyDescent="0.2">
      <c r="A137">
        <v>136</v>
      </c>
      <c r="B137" t="s">
        <v>179</v>
      </c>
      <c r="C137" t="s">
        <v>49</v>
      </c>
      <c r="D137" t="s">
        <v>43</v>
      </c>
      <c r="E137">
        <v>32</v>
      </c>
      <c r="F137">
        <v>5350</v>
      </c>
      <c r="G137">
        <v>171200</v>
      </c>
    </row>
    <row r="138" spans="1:7" x14ac:dyDescent="0.2">
      <c r="A138">
        <v>137</v>
      </c>
      <c r="B138" t="s">
        <v>179</v>
      </c>
      <c r="C138" t="s">
        <v>46</v>
      </c>
      <c r="D138" t="s">
        <v>42</v>
      </c>
      <c r="E138">
        <v>32</v>
      </c>
      <c r="F138">
        <v>4520</v>
      </c>
      <c r="G138">
        <v>144640</v>
      </c>
    </row>
    <row r="139" spans="1:7" x14ac:dyDescent="0.2">
      <c r="A139">
        <v>138</v>
      </c>
      <c r="B139" t="s">
        <v>179</v>
      </c>
      <c r="C139" t="s">
        <v>32</v>
      </c>
      <c r="D139" t="s">
        <v>33</v>
      </c>
      <c r="E139">
        <v>19</v>
      </c>
      <c r="F139">
        <v>20110</v>
      </c>
      <c r="G139">
        <v>382090</v>
      </c>
    </row>
    <row r="140" spans="1:7" x14ac:dyDescent="0.2">
      <c r="A140">
        <v>139</v>
      </c>
      <c r="B140" t="s">
        <v>179</v>
      </c>
      <c r="C140" t="s">
        <v>32</v>
      </c>
      <c r="D140" t="s">
        <v>48</v>
      </c>
      <c r="E140">
        <v>17</v>
      </c>
      <c r="F140">
        <v>1890</v>
      </c>
      <c r="G140">
        <v>32130</v>
      </c>
    </row>
    <row r="141" spans="1:7" x14ac:dyDescent="0.2">
      <c r="A141">
        <v>140</v>
      </c>
      <c r="B141" t="s">
        <v>180</v>
      </c>
      <c r="C141" t="s">
        <v>36</v>
      </c>
      <c r="D141" t="s">
        <v>51</v>
      </c>
      <c r="E141">
        <v>11</v>
      </c>
      <c r="F141">
        <v>14570</v>
      </c>
      <c r="G141">
        <v>160270</v>
      </c>
    </row>
    <row r="142" spans="1:7" x14ac:dyDescent="0.2">
      <c r="A142">
        <v>141</v>
      </c>
      <c r="B142" t="s">
        <v>180</v>
      </c>
      <c r="C142" t="s">
        <v>49</v>
      </c>
      <c r="D142" t="s">
        <v>39</v>
      </c>
      <c r="E142">
        <v>26</v>
      </c>
      <c r="F142">
        <v>2760</v>
      </c>
      <c r="G142">
        <v>71760</v>
      </c>
    </row>
    <row r="143" spans="1:7" x14ac:dyDescent="0.2">
      <c r="A143">
        <v>142</v>
      </c>
      <c r="B143" t="s">
        <v>181</v>
      </c>
      <c r="C143" t="s">
        <v>45</v>
      </c>
      <c r="D143" t="s">
        <v>39</v>
      </c>
      <c r="E143">
        <v>28</v>
      </c>
      <c r="F143">
        <v>2700</v>
      </c>
      <c r="G143">
        <v>75600</v>
      </c>
    </row>
    <row r="144" spans="1:7" x14ac:dyDescent="0.2">
      <c r="A144">
        <v>143</v>
      </c>
      <c r="B144" t="s">
        <v>182</v>
      </c>
      <c r="C144" t="s">
        <v>45</v>
      </c>
      <c r="D144" t="s">
        <v>42</v>
      </c>
      <c r="E144">
        <v>2</v>
      </c>
      <c r="F144">
        <v>4710</v>
      </c>
      <c r="G144">
        <v>9420</v>
      </c>
    </row>
    <row r="145" spans="1:7" x14ac:dyDescent="0.2">
      <c r="A145">
        <v>144</v>
      </c>
      <c r="B145" t="s">
        <v>182</v>
      </c>
      <c r="C145" t="s">
        <v>41</v>
      </c>
      <c r="D145" t="s">
        <v>35</v>
      </c>
      <c r="E145">
        <v>37</v>
      </c>
      <c r="F145">
        <v>2970</v>
      </c>
      <c r="G145">
        <v>109890</v>
      </c>
    </row>
    <row r="146" spans="1:7" x14ac:dyDescent="0.2">
      <c r="A146">
        <v>145</v>
      </c>
      <c r="B146" t="s">
        <v>183</v>
      </c>
      <c r="C146" t="s">
        <v>41</v>
      </c>
      <c r="D146" t="s">
        <v>39</v>
      </c>
      <c r="E146">
        <v>8</v>
      </c>
      <c r="F146">
        <v>2810</v>
      </c>
      <c r="G146">
        <v>22480</v>
      </c>
    </row>
    <row r="147" spans="1:7" x14ac:dyDescent="0.2">
      <c r="A147">
        <v>146</v>
      </c>
      <c r="B147" t="s">
        <v>183</v>
      </c>
      <c r="C147" t="s">
        <v>34</v>
      </c>
      <c r="D147" t="s">
        <v>35</v>
      </c>
      <c r="E147">
        <v>3</v>
      </c>
      <c r="F147">
        <v>3440</v>
      </c>
      <c r="G147">
        <v>10320</v>
      </c>
    </row>
    <row r="148" spans="1:7" x14ac:dyDescent="0.2">
      <c r="A148">
        <v>147</v>
      </c>
      <c r="B148" t="s">
        <v>183</v>
      </c>
      <c r="C148" t="s">
        <v>36</v>
      </c>
      <c r="D148" t="s">
        <v>39</v>
      </c>
      <c r="E148">
        <v>36</v>
      </c>
      <c r="F148">
        <v>2490</v>
      </c>
      <c r="G148">
        <v>89640</v>
      </c>
    </row>
    <row r="149" spans="1:7" x14ac:dyDescent="0.2">
      <c r="A149">
        <v>148</v>
      </c>
      <c r="B149" t="s">
        <v>183</v>
      </c>
      <c r="C149" t="s">
        <v>47</v>
      </c>
      <c r="D149" t="s">
        <v>48</v>
      </c>
      <c r="E149">
        <v>2</v>
      </c>
      <c r="F149">
        <v>1710</v>
      </c>
      <c r="G149">
        <v>3420</v>
      </c>
    </row>
    <row r="150" spans="1:7" x14ac:dyDescent="0.2">
      <c r="A150">
        <v>149</v>
      </c>
      <c r="B150" t="s">
        <v>184</v>
      </c>
      <c r="C150" t="s">
        <v>36</v>
      </c>
      <c r="D150" t="s">
        <v>44</v>
      </c>
      <c r="E150">
        <v>19</v>
      </c>
      <c r="F150">
        <v>3620</v>
      </c>
      <c r="G150">
        <v>68780</v>
      </c>
    </row>
    <row r="151" spans="1:7" x14ac:dyDescent="0.2">
      <c r="A151">
        <v>150</v>
      </c>
      <c r="B151" t="s">
        <v>184</v>
      </c>
      <c r="C151" t="s">
        <v>32</v>
      </c>
      <c r="D151" t="s">
        <v>51</v>
      </c>
      <c r="E151">
        <v>21</v>
      </c>
      <c r="F151">
        <v>14910</v>
      </c>
    </row>
    <row r="152" spans="1:7" x14ac:dyDescent="0.2">
      <c r="A152">
        <v>151</v>
      </c>
      <c r="B152" t="s">
        <v>184</v>
      </c>
      <c r="C152" t="s">
        <v>45</v>
      </c>
      <c r="D152" t="s">
        <v>37</v>
      </c>
      <c r="E152">
        <v>28</v>
      </c>
      <c r="F152">
        <v>3530</v>
      </c>
      <c r="G152">
        <v>98840</v>
      </c>
    </row>
    <row r="153" spans="1:7" x14ac:dyDescent="0.2">
      <c r="A153">
        <v>152</v>
      </c>
      <c r="B153" t="s">
        <v>185</v>
      </c>
      <c r="C153" t="s">
        <v>34</v>
      </c>
      <c r="D153" t="s">
        <v>35</v>
      </c>
      <c r="E153">
        <v>26</v>
      </c>
      <c r="F153">
        <v>3400</v>
      </c>
      <c r="G153">
        <v>88400</v>
      </c>
    </row>
    <row r="154" spans="1:7" x14ac:dyDescent="0.2">
      <c r="A154">
        <v>153</v>
      </c>
      <c r="B154" t="s">
        <v>186</v>
      </c>
      <c r="C154" t="s">
        <v>47</v>
      </c>
      <c r="D154" t="s">
        <v>35</v>
      </c>
      <c r="E154">
        <v>31</v>
      </c>
      <c r="F154">
        <v>3130</v>
      </c>
      <c r="G154">
        <v>97030</v>
      </c>
    </row>
    <row r="155" spans="1:7" x14ac:dyDescent="0.2">
      <c r="A155">
        <v>154</v>
      </c>
      <c r="B155" t="s">
        <v>186</v>
      </c>
      <c r="C155" t="s">
        <v>38</v>
      </c>
      <c r="D155" t="s">
        <v>35</v>
      </c>
      <c r="E155">
        <v>30</v>
      </c>
      <c r="F155">
        <v>3390</v>
      </c>
      <c r="G155">
        <v>101700</v>
      </c>
    </row>
    <row r="156" spans="1:7" x14ac:dyDescent="0.2">
      <c r="A156">
        <v>155</v>
      </c>
      <c r="C156" t="s">
        <v>45</v>
      </c>
      <c r="D156" t="s">
        <v>51</v>
      </c>
      <c r="E156">
        <v>32</v>
      </c>
      <c r="F156">
        <v>15520</v>
      </c>
      <c r="G156">
        <v>496640</v>
      </c>
    </row>
    <row r="157" spans="1:7" x14ac:dyDescent="0.2">
      <c r="A157">
        <v>156</v>
      </c>
      <c r="B157" t="s">
        <v>187</v>
      </c>
      <c r="C157" t="s">
        <v>38</v>
      </c>
      <c r="D157" t="s">
        <v>40</v>
      </c>
      <c r="E157">
        <v>2</v>
      </c>
      <c r="F157">
        <v>5970</v>
      </c>
      <c r="G157">
        <v>11940</v>
      </c>
    </row>
    <row r="158" spans="1:7" x14ac:dyDescent="0.2">
      <c r="A158">
        <v>157</v>
      </c>
      <c r="B158" t="s">
        <v>188</v>
      </c>
      <c r="C158" t="s">
        <v>41</v>
      </c>
      <c r="D158" t="s">
        <v>37</v>
      </c>
      <c r="E158">
        <v>28</v>
      </c>
      <c r="F158">
        <v>3380</v>
      </c>
      <c r="G158">
        <v>94640</v>
      </c>
    </row>
    <row r="159" spans="1:7" x14ac:dyDescent="0.2">
      <c r="A159">
        <v>158</v>
      </c>
      <c r="B159" t="s">
        <v>189</v>
      </c>
      <c r="C159" t="s">
        <v>50</v>
      </c>
      <c r="D159" t="s">
        <v>43</v>
      </c>
      <c r="E159">
        <v>19</v>
      </c>
      <c r="F159">
        <v>5350</v>
      </c>
      <c r="G159">
        <v>101650</v>
      </c>
    </row>
    <row r="160" spans="1:7" x14ac:dyDescent="0.2">
      <c r="A160">
        <v>159</v>
      </c>
      <c r="B160" t="s">
        <v>190</v>
      </c>
      <c r="C160" t="s">
        <v>47</v>
      </c>
      <c r="D160" t="s">
        <v>44</v>
      </c>
      <c r="E160">
        <v>7</v>
      </c>
      <c r="F160">
        <v>3630</v>
      </c>
      <c r="G160">
        <v>25410</v>
      </c>
    </row>
    <row r="161" spans="1:7" x14ac:dyDescent="0.2">
      <c r="A161">
        <v>160</v>
      </c>
      <c r="B161" t="s">
        <v>190</v>
      </c>
      <c r="C161" t="s">
        <v>50</v>
      </c>
      <c r="D161" t="s">
        <v>43</v>
      </c>
      <c r="E161">
        <v>31</v>
      </c>
      <c r="F161">
        <v>5500</v>
      </c>
      <c r="G161">
        <v>170500</v>
      </c>
    </row>
    <row r="162" spans="1:7" x14ac:dyDescent="0.2">
      <c r="A162">
        <v>161</v>
      </c>
      <c r="B162" t="s">
        <v>191</v>
      </c>
      <c r="C162" t="s">
        <v>47</v>
      </c>
      <c r="D162" t="s">
        <v>39</v>
      </c>
      <c r="E162">
        <v>20</v>
      </c>
      <c r="F162">
        <v>2720</v>
      </c>
      <c r="G162">
        <v>54400</v>
      </c>
    </row>
    <row r="163" spans="1:7" x14ac:dyDescent="0.2">
      <c r="A163">
        <v>162</v>
      </c>
      <c r="B163" t="s">
        <v>191</v>
      </c>
      <c r="C163" t="s">
        <v>47</v>
      </c>
      <c r="D163" t="s">
        <v>33</v>
      </c>
      <c r="E163">
        <v>15</v>
      </c>
      <c r="F163">
        <v>20160</v>
      </c>
      <c r="G163">
        <v>302400</v>
      </c>
    </row>
    <row r="164" spans="1:7" x14ac:dyDescent="0.2">
      <c r="A164">
        <v>163</v>
      </c>
      <c r="B164" t="s">
        <v>192</v>
      </c>
      <c r="C164" t="s">
        <v>46</v>
      </c>
      <c r="D164" t="s">
        <v>39</v>
      </c>
      <c r="E164">
        <v>25</v>
      </c>
      <c r="F164">
        <v>2610</v>
      </c>
      <c r="G164">
        <v>65250</v>
      </c>
    </row>
    <row r="165" spans="1:7" x14ac:dyDescent="0.2">
      <c r="A165">
        <v>164</v>
      </c>
      <c r="B165" t="s">
        <v>192</v>
      </c>
      <c r="C165" t="s">
        <v>34</v>
      </c>
      <c r="D165" t="s">
        <v>44</v>
      </c>
      <c r="E165">
        <v>1</v>
      </c>
      <c r="F165">
        <v>3800</v>
      </c>
      <c r="G165">
        <v>3800</v>
      </c>
    </row>
    <row r="166" spans="1:7" x14ac:dyDescent="0.2">
      <c r="A166">
        <v>165</v>
      </c>
      <c r="B166" t="s">
        <v>192</v>
      </c>
      <c r="C166" t="s">
        <v>34</v>
      </c>
      <c r="D166" t="s">
        <v>40</v>
      </c>
      <c r="E166">
        <v>5</v>
      </c>
      <c r="F166">
        <v>5810</v>
      </c>
      <c r="G166">
        <v>29050</v>
      </c>
    </row>
    <row r="167" spans="1:7" x14ac:dyDescent="0.2">
      <c r="A167">
        <v>166</v>
      </c>
      <c r="B167" t="s">
        <v>192</v>
      </c>
      <c r="C167" t="s">
        <v>45</v>
      </c>
      <c r="D167" t="s">
        <v>43</v>
      </c>
      <c r="E167">
        <v>33</v>
      </c>
      <c r="F167">
        <v>4950</v>
      </c>
      <c r="G167">
        <v>163350</v>
      </c>
    </row>
    <row r="168" spans="1:7" x14ac:dyDescent="0.2">
      <c r="A168">
        <v>167</v>
      </c>
      <c r="B168" t="s">
        <v>193</v>
      </c>
      <c r="C168" t="s">
        <v>32</v>
      </c>
      <c r="D168" t="s">
        <v>40</v>
      </c>
      <c r="E168">
        <v>14</v>
      </c>
      <c r="F168">
        <v>5400</v>
      </c>
      <c r="G168">
        <v>75600</v>
      </c>
    </row>
    <row r="169" spans="1:7" x14ac:dyDescent="0.2">
      <c r="A169">
        <v>168</v>
      </c>
      <c r="B169" t="s">
        <v>194</v>
      </c>
      <c r="C169" t="s">
        <v>47</v>
      </c>
      <c r="D169" t="s">
        <v>42</v>
      </c>
      <c r="E169">
        <v>18</v>
      </c>
      <c r="F169">
        <v>4600</v>
      </c>
      <c r="G169">
        <v>82800</v>
      </c>
    </row>
    <row r="170" spans="1:7" x14ac:dyDescent="0.2">
      <c r="A170">
        <v>169</v>
      </c>
      <c r="B170" t="s">
        <v>195</v>
      </c>
      <c r="C170" t="s">
        <v>46</v>
      </c>
      <c r="D170" t="s">
        <v>37</v>
      </c>
      <c r="E170">
        <v>5</v>
      </c>
      <c r="F170">
        <v>3360</v>
      </c>
      <c r="G170">
        <v>16800</v>
      </c>
    </row>
    <row r="171" spans="1:7" x14ac:dyDescent="0.2">
      <c r="A171">
        <v>170</v>
      </c>
      <c r="B171" t="s">
        <v>195</v>
      </c>
      <c r="C171" t="s">
        <v>47</v>
      </c>
      <c r="D171" t="s">
        <v>44</v>
      </c>
      <c r="E171">
        <v>40</v>
      </c>
      <c r="F171">
        <v>3710</v>
      </c>
      <c r="G171">
        <v>148400</v>
      </c>
    </row>
    <row r="172" spans="1:7" x14ac:dyDescent="0.2">
      <c r="A172">
        <v>171</v>
      </c>
      <c r="B172" t="s">
        <v>195</v>
      </c>
      <c r="C172" t="s">
        <v>41</v>
      </c>
      <c r="D172" t="s">
        <v>42</v>
      </c>
      <c r="E172">
        <v>29</v>
      </c>
      <c r="F172">
        <v>4150</v>
      </c>
      <c r="G172">
        <v>120350</v>
      </c>
    </row>
    <row r="173" spans="1:7" x14ac:dyDescent="0.2">
      <c r="A173">
        <v>172</v>
      </c>
      <c r="B173" t="s">
        <v>196</v>
      </c>
      <c r="C173" t="s">
        <v>41</v>
      </c>
      <c r="D173" t="s">
        <v>33</v>
      </c>
      <c r="E173">
        <v>9</v>
      </c>
      <c r="F173">
        <v>20390</v>
      </c>
      <c r="G173">
        <v>183510</v>
      </c>
    </row>
    <row r="174" spans="1:7" x14ac:dyDescent="0.2">
      <c r="A174">
        <v>173</v>
      </c>
      <c r="B174" t="s">
        <v>196</v>
      </c>
      <c r="C174" t="s">
        <v>32</v>
      </c>
      <c r="D174" t="s">
        <v>39</v>
      </c>
      <c r="E174">
        <v>18</v>
      </c>
      <c r="F174">
        <v>2770</v>
      </c>
    </row>
    <row r="175" spans="1:7" x14ac:dyDescent="0.2">
      <c r="A175">
        <v>174</v>
      </c>
      <c r="B175" t="s">
        <v>196</v>
      </c>
      <c r="C175" t="s">
        <v>46</v>
      </c>
      <c r="D175" t="s">
        <v>33</v>
      </c>
      <c r="E175">
        <v>8</v>
      </c>
      <c r="F175">
        <v>19730</v>
      </c>
      <c r="G175">
        <v>157840</v>
      </c>
    </row>
    <row r="176" spans="1:7" x14ac:dyDescent="0.2">
      <c r="A176">
        <v>175</v>
      </c>
      <c r="B176" t="s">
        <v>197</v>
      </c>
      <c r="C176" t="s">
        <v>49</v>
      </c>
      <c r="D176" t="s">
        <v>33</v>
      </c>
      <c r="E176">
        <v>5</v>
      </c>
      <c r="F176">
        <v>19560</v>
      </c>
      <c r="G176">
        <v>97800</v>
      </c>
    </row>
    <row r="177" spans="1:7" x14ac:dyDescent="0.2">
      <c r="A177">
        <v>176</v>
      </c>
      <c r="B177" t="s">
        <v>198</v>
      </c>
      <c r="C177" t="s">
        <v>46</v>
      </c>
      <c r="D177" t="s">
        <v>51</v>
      </c>
      <c r="E177">
        <v>9</v>
      </c>
      <c r="F177">
        <v>13590</v>
      </c>
      <c r="G177">
        <v>122310</v>
      </c>
    </row>
    <row r="178" spans="1:7" x14ac:dyDescent="0.2">
      <c r="A178">
        <v>177</v>
      </c>
      <c r="B178" t="s">
        <v>198</v>
      </c>
      <c r="C178" t="s">
        <v>36</v>
      </c>
      <c r="D178" t="s">
        <v>42</v>
      </c>
      <c r="E178">
        <v>31</v>
      </c>
      <c r="F178">
        <v>4730</v>
      </c>
      <c r="G178">
        <v>146630</v>
      </c>
    </row>
    <row r="179" spans="1:7" x14ac:dyDescent="0.2">
      <c r="A179">
        <v>178</v>
      </c>
      <c r="B179" t="s">
        <v>198</v>
      </c>
      <c r="C179" t="s">
        <v>38</v>
      </c>
      <c r="D179" t="s">
        <v>40</v>
      </c>
      <c r="E179">
        <v>37</v>
      </c>
      <c r="F179">
        <v>5710</v>
      </c>
      <c r="G179">
        <v>211270</v>
      </c>
    </row>
    <row r="180" spans="1:7" x14ac:dyDescent="0.2">
      <c r="A180">
        <v>179</v>
      </c>
      <c r="B180" t="s">
        <v>198</v>
      </c>
      <c r="C180" t="s">
        <v>32</v>
      </c>
      <c r="D180" t="s">
        <v>51</v>
      </c>
      <c r="E180">
        <v>37</v>
      </c>
      <c r="F180">
        <v>14590</v>
      </c>
      <c r="G180">
        <v>539830</v>
      </c>
    </row>
    <row r="181" spans="1:7" x14ac:dyDescent="0.2">
      <c r="A181">
        <v>180</v>
      </c>
      <c r="B181" t="s">
        <v>199</v>
      </c>
      <c r="C181" t="s">
        <v>47</v>
      </c>
      <c r="D181" t="s">
        <v>37</v>
      </c>
      <c r="E181">
        <v>29</v>
      </c>
      <c r="F181">
        <v>3770</v>
      </c>
      <c r="G181">
        <v>109330</v>
      </c>
    </row>
    <row r="182" spans="1:7" x14ac:dyDescent="0.2">
      <c r="A182">
        <v>181</v>
      </c>
      <c r="B182" t="s">
        <v>200</v>
      </c>
      <c r="C182" t="s">
        <v>47</v>
      </c>
      <c r="D182" t="s">
        <v>44</v>
      </c>
      <c r="E182">
        <v>40</v>
      </c>
      <c r="F182">
        <v>4020</v>
      </c>
      <c r="G182">
        <v>160800</v>
      </c>
    </row>
    <row r="183" spans="1:7" x14ac:dyDescent="0.2">
      <c r="A183">
        <v>182</v>
      </c>
      <c r="B183" t="s">
        <v>200</v>
      </c>
      <c r="C183" t="s">
        <v>36</v>
      </c>
      <c r="D183" t="s">
        <v>44</v>
      </c>
      <c r="E183">
        <v>26</v>
      </c>
      <c r="F183">
        <v>3870</v>
      </c>
      <c r="G183">
        <v>100620</v>
      </c>
    </row>
    <row r="184" spans="1:7" x14ac:dyDescent="0.2">
      <c r="A184">
        <v>183</v>
      </c>
      <c r="B184" t="s">
        <v>200</v>
      </c>
      <c r="C184" t="s">
        <v>38</v>
      </c>
      <c r="D184" t="s">
        <v>51</v>
      </c>
      <c r="E184">
        <v>6</v>
      </c>
      <c r="F184">
        <v>14890</v>
      </c>
      <c r="G184">
        <v>89340</v>
      </c>
    </row>
    <row r="185" spans="1:7" x14ac:dyDescent="0.2">
      <c r="A185">
        <v>184</v>
      </c>
      <c r="B185" t="s">
        <v>200</v>
      </c>
      <c r="C185" t="s">
        <v>50</v>
      </c>
      <c r="D185" t="s">
        <v>39</v>
      </c>
      <c r="E185">
        <v>19</v>
      </c>
      <c r="F185">
        <v>2520</v>
      </c>
      <c r="G185">
        <v>47880</v>
      </c>
    </row>
    <row r="186" spans="1:7" x14ac:dyDescent="0.2">
      <c r="A186">
        <v>185</v>
      </c>
      <c r="B186" t="s">
        <v>201</v>
      </c>
      <c r="C186" t="s">
        <v>36</v>
      </c>
      <c r="D186" t="s">
        <v>33</v>
      </c>
      <c r="E186">
        <v>31</v>
      </c>
      <c r="F186">
        <v>17550</v>
      </c>
      <c r="G186">
        <v>544050</v>
      </c>
    </row>
    <row r="187" spans="1:7" x14ac:dyDescent="0.2">
      <c r="A187">
        <v>186</v>
      </c>
      <c r="B187" t="s">
        <v>202</v>
      </c>
      <c r="C187" t="s">
        <v>45</v>
      </c>
      <c r="D187" t="s">
        <v>43</v>
      </c>
      <c r="E187">
        <v>26</v>
      </c>
      <c r="F187">
        <v>5430</v>
      </c>
      <c r="G187">
        <v>141180</v>
      </c>
    </row>
    <row r="188" spans="1:7" x14ac:dyDescent="0.2">
      <c r="A188">
        <v>187</v>
      </c>
      <c r="B188" t="s">
        <v>202</v>
      </c>
      <c r="C188" t="s">
        <v>38</v>
      </c>
      <c r="D188" t="s">
        <v>48</v>
      </c>
      <c r="E188">
        <v>18</v>
      </c>
      <c r="F188">
        <v>1840</v>
      </c>
      <c r="G188">
        <v>33120</v>
      </c>
    </row>
    <row r="189" spans="1:7" x14ac:dyDescent="0.2">
      <c r="A189">
        <v>188</v>
      </c>
      <c r="B189" t="s">
        <v>203</v>
      </c>
      <c r="C189" t="s">
        <v>38</v>
      </c>
      <c r="D189" t="s">
        <v>37</v>
      </c>
      <c r="E189">
        <v>37</v>
      </c>
      <c r="F189">
        <v>3690</v>
      </c>
      <c r="G189">
        <v>136530</v>
      </c>
    </row>
    <row r="190" spans="1:7" x14ac:dyDescent="0.2">
      <c r="A190">
        <v>189</v>
      </c>
      <c r="B190" t="s">
        <v>203</v>
      </c>
      <c r="C190" t="s">
        <v>47</v>
      </c>
      <c r="D190" t="s">
        <v>37</v>
      </c>
      <c r="E190">
        <v>18</v>
      </c>
      <c r="F190">
        <v>3360</v>
      </c>
      <c r="G190">
        <v>60480</v>
      </c>
    </row>
    <row r="191" spans="1:7" x14ac:dyDescent="0.2">
      <c r="A191">
        <v>190</v>
      </c>
      <c r="B191" t="s">
        <v>203</v>
      </c>
      <c r="C191" t="s">
        <v>38</v>
      </c>
      <c r="D191" t="s">
        <v>43</v>
      </c>
      <c r="E191">
        <v>23</v>
      </c>
      <c r="F191">
        <v>4890</v>
      </c>
      <c r="G191">
        <v>112470</v>
      </c>
    </row>
    <row r="192" spans="1:7" x14ac:dyDescent="0.2">
      <c r="A192">
        <v>191</v>
      </c>
      <c r="B192" t="s">
        <v>203</v>
      </c>
      <c r="C192" t="s">
        <v>47</v>
      </c>
      <c r="D192" t="s">
        <v>40</v>
      </c>
      <c r="E192">
        <v>29</v>
      </c>
      <c r="F192">
        <v>5970</v>
      </c>
      <c r="G192">
        <v>173130</v>
      </c>
    </row>
    <row r="193" spans="1:7" x14ac:dyDescent="0.2">
      <c r="A193">
        <v>192</v>
      </c>
      <c r="B193" t="s">
        <v>203</v>
      </c>
      <c r="C193" t="s">
        <v>32</v>
      </c>
      <c r="D193" t="s">
        <v>33</v>
      </c>
      <c r="E193">
        <v>7</v>
      </c>
      <c r="F193">
        <v>19150</v>
      </c>
      <c r="G193">
        <v>134050</v>
      </c>
    </row>
    <row r="194" spans="1:7" x14ac:dyDescent="0.2">
      <c r="A194">
        <v>193</v>
      </c>
      <c r="B194" t="s">
        <v>204</v>
      </c>
      <c r="C194" t="s">
        <v>32</v>
      </c>
      <c r="D194" t="s">
        <v>48</v>
      </c>
      <c r="E194">
        <v>7</v>
      </c>
      <c r="F194">
        <v>1820</v>
      </c>
      <c r="G194">
        <v>12740</v>
      </c>
    </row>
    <row r="195" spans="1:7" x14ac:dyDescent="0.2">
      <c r="A195">
        <v>194</v>
      </c>
      <c r="B195" t="s">
        <v>204</v>
      </c>
      <c r="C195" t="s">
        <v>50</v>
      </c>
      <c r="D195" t="s">
        <v>44</v>
      </c>
      <c r="E195">
        <v>16</v>
      </c>
      <c r="F195">
        <v>4180</v>
      </c>
      <c r="G195">
        <v>66880</v>
      </c>
    </row>
    <row r="196" spans="1:7" x14ac:dyDescent="0.2">
      <c r="A196">
        <v>195</v>
      </c>
      <c r="B196" t="s">
        <v>205</v>
      </c>
      <c r="C196" t="s">
        <v>45</v>
      </c>
      <c r="D196" t="s">
        <v>35</v>
      </c>
      <c r="E196">
        <v>8</v>
      </c>
      <c r="F196">
        <v>3130</v>
      </c>
      <c r="G196">
        <v>25040</v>
      </c>
    </row>
    <row r="197" spans="1:7" x14ac:dyDescent="0.2">
      <c r="A197">
        <v>196</v>
      </c>
      <c r="B197" t="s">
        <v>206</v>
      </c>
      <c r="C197" t="s">
        <v>36</v>
      </c>
      <c r="D197" t="s">
        <v>33</v>
      </c>
      <c r="E197">
        <v>38</v>
      </c>
      <c r="F197">
        <v>19650</v>
      </c>
      <c r="G197">
        <v>746700</v>
      </c>
    </row>
    <row r="198" spans="1:7" x14ac:dyDescent="0.2">
      <c r="A198">
        <v>197</v>
      </c>
      <c r="B198" t="s">
        <v>206</v>
      </c>
      <c r="C198" t="s">
        <v>36</v>
      </c>
      <c r="D198" t="s">
        <v>37</v>
      </c>
      <c r="E198">
        <v>10</v>
      </c>
      <c r="F198">
        <v>3340</v>
      </c>
      <c r="G198">
        <v>33400</v>
      </c>
    </row>
    <row r="199" spans="1:7" x14ac:dyDescent="0.2">
      <c r="A199">
        <v>198</v>
      </c>
      <c r="B199" t="s">
        <v>206</v>
      </c>
      <c r="C199" t="s">
        <v>50</v>
      </c>
      <c r="D199" t="s">
        <v>42</v>
      </c>
      <c r="E199">
        <v>30</v>
      </c>
      <c r="F199">
        <v>4250</v>
      </c>
      <c r="G199">
        <v>127500</v>
      </c>
    </row>
    <row r="200" spans="1:7" x14ac:dyDescent="0.2">
      <c r="A200">
        <v>199</v>
      </c>
      <c r="B200" t="s">
        <v>206</v>
      </c>
      <c r="C200" t="s">
        <v>50</v>
      </c>
      <c r="D200" t="s">
        <v>51</v>
      </c>
      <c r="E200">
        <v>35</v>
      </c>
      <c r="F200">
        <v>15010</v>
      </c>
      <c r="G200">
        <v>525350</v>
      </c>
    </row>
    <row r="201" spans="1:7" x14ac:dyDescent="0.2">
      <c r="A201">
        <v>200</v>
      </c>
      <c r="B201" t="s">
        <v>206</v>
      </c>
      <c r="C201" t="s">
        <v>45</v>
      </c>
      <c r="D201" t="s">
        <v>39</v>
      </c>
      <c r="E201">
        <v>35</v>
      </c>
      <c r="F201">
        <v>2900</v>
      </c>
      <c r="G201">
        <v>101500</v>
      </c>
    </row>
    <row r="202" spans="1:7" x14ac:dyDescent="0.2">
      <c r="A202">
        <v>201</v>
      </c>
      <c r="C202" t="s">
        <v>50</v>
      </c>
      <c r="D202" t="s">
        <v>48</v>
      </c>
      <c r="E202">
        <v>2</v>
      </c>
      <c r="F202">
        <v>1890</v>
      </c>
      <c r="G202">
        <v>3780</v>
      </c>
    </row>
    <row r="203" spans="1:7" x14ac:dyDescent="0.2">
      <c r="A203">
        <v>202</v>
      </c>
      <c r="B203" t="s">
        <v>207</v>
      </c>
      <c r="C203" t="s">
        <v>36</v>
      </c>
      <c r="D203" t="s">
        <v>43</v>
      </c>
      <c r="E203">
        <v>26</v>
      </c>
      <c r="F203">
        <v>5410</v>
      </c>
      <c r="G203">
        <v>140660</v>
      </c>
    </row>
    <row r="204" spans="1:7" x14ac:dyDescent="0.2">
      <c r="A204">
        <v>203</v>
      </c>
      <c r="B204" t="s">
        <v>208</v>
      </c>
      <c r="C204" t="s">
        <v>50</v>
      </c>
      <c r="D204" t="s">
        <v>48</v>
      </c>
      <c r="E204">
        <v>12</v>
      </c>
      <c r="F204">
        <v>1760</v>
      </c>
      <c r="G204">
        <v>21120</v>
      </c>
    </row>
    <row r="205" spans="1:7" x14ac:dyDescent="0.2">
      <c r="A205">
        <v>204</v>
      </c>
      <c r="B205" t="s">
        <v>209</v>
      </c>
      <c r="C205" t="s">
        <v>38</v>
      </c>
      <c r="D205" t="s">
        <v>48</v>
      </c>
      <c r="E205">
        <v>16</v>
      </c>
      <c r="F205">
        <v>1720</v>
      </c>
      <c r="G205">
        <v>27520</v>
      </c>
    </row>
    <row r="206" spans="1:7" x14ac:dyDescent="0.2">
      <c r="A206">
        <v>205</v>
      </c>
      <c r="B206" t="s">
        <v>210</v>
      </c>
      <c r="C206" t="s">
        <v>46</v>
      </c>
      <c r="D206" t="s">
        <v>42</v>
      </c>
      <c r="E206">
        <v>19</v>
      </c>
      <c r="F206">
        <v>4390</v>
      </c>
      <c r="G206">
        <v>83410</v>
      </c>
    </row>
    <row r="207" spans="1:7" x14ac:dyDescent="0.2">
      <c r="A207">
        <v>206</v>
      </c>
      <c r="B207" t="s">
        <v>210</v>
      </c>
      <c r="C207" t="s">
        <v>45</v>
      </c>
      <c r="D207" t="s">
        <v>35</v>
      </c>
      <c r="E207">
        <v>7</v>
      </c>
      <c r="F207">
        <v>2990</v>
      </c>
      <c r="G207">
        <v>20930</v>
      </c>
    </row>
    <row r="208" spans="1:7" x14ac:dyDescent="0.2">
      <c r="A208">
        <v>207</v>
      </c>
      <c r="B208" t="s">
        <v>211</v>
      </c>
      <c r="C208" t="s">
        <v>45</v>
      </c>
      <c r="D208" t="s">
        <v>39</v>
      </c>
      <c r="E208">
        <v>11</v>
      </c>
      <c r="F208">
        <v>2730</v>
      </c>
      <c r="G208">
        <v>30030</v>
      </c>
    </row>
    <row r="209" spans="1:7" x14ac:dyDescent="0.2">
      <c r="A209">
        <v>208</v>
      </c>
      <c r="B209" t="s">
        <v>211</v>
      </c>
      <c r="C209" t="s">
        <v>47</v>
      </c>
      <c r="D209" t="s">
        <v>33</v>
      </c>
      <c r="E209">
        <v>26</v>
      </c>
      <c r="F209">
        <v>17910</v>
      </c>
      <c r="G209">
        <v>465660</v>
      </c>
    </row>
    <row r="210" spans="1:7" x14ac:dyDescent="0.2">
      <c r="A210">
        <v>209</v>
      </c>
      <c r="B210" t="s">
        <v>212</v>
      </c>
      <c r="C210" t="s">
        <v>50</v>
      </c>
      <c r="D210" t="s">
        <v>44</v>
      </c>
      <c r="E210">
        <v>8</v>
      </c>
      <c r="F210">
        <v>3830</v>
      </c>
    </row>
    <row r="211" spans="1:7" x14ac:dyDescent="0.2">
      <c r="A211">
        <v>210</v>
      </c>
      <c r="B211" t="s">
        <v>213</v>
      </c>
      <c r="C211" t="s">
        <v>34</v>
      </c>
      <c r="D211" t="s">
        <v>43</v>
      </c>
      <c r="E211">
        <v>3</v>
      </c>
      <c r="F211">
        <v>4980</v>
      </c>
      <c r="G211">
        <v>14940</v>
      </c>
    </row>
    <row r="212" spans="1:7" x14ac:dyDescent="0.2">
      <c r="A212">
        <v>211</v>
      </c>
      <c r="B212" t="s">
        <v>214</v>
      </c>
      <c r="C212" t="s">
        <v>45</v>
      </c>
      <c r="D212" t="s">
        <v>43</v>
      </c>
      <c r="E212">
        <v>16</v>
      </c>
      <c r="F212">
        <v>4820</v>
      </c>
      <c r="G212">
        <v>77120</v>
      </c>
    </row>
    <row r="213" spans="1:7" x14ac:dyDescent="0.2">
      <c r="A213">
        <v>212</v>
      </c>
      <c r="B213" t="s">
        <v>215</v>
      </c>
      <c r="C213" t="s">
        <v>32</v>
      </c>
      <c r="D213" t="s">
        <v>33</v>
      </c>
      <c r="E213">
        <v>36</v>
      </c>
      <c r="F213">
        <v>18510</v>
      </c>
      <c r="G213">
        <v>666360</v>
      </c>
    </row>
    <row r="214" spans="1:7" x14ac:dyDescent="0.2">
      <c r="A214">
        <v>213</v>
      </c>
      <c r="B214" t="s">
        <v>215</v>
      </c>
      <c r="C214" t="s">
        <v>41</v>
      </c>
      <c r="D214" t="s">
        <v>43</v>
      </c>
      <c r="E214">
        <v>33</v>
      </c>
      <c r="F214">
        <v>4800</v>
      </c>
      <c r="G214">
        <v>158400</v>
      </c>
    </row>
    <row r="215" spans="1:7" x14ac:dyDescent="0.2">
      <c r="A215">
        <v>214</v>
      </c>
      <c r="B215" t="s">
        <v>215</v>
      </c>
      <c r="C215" t="s">
        <v>47</v>
      </c>
      <c r="D215" t="s">
        <v>39</v>
      </c>
      <c r="E215">
        <v>16</v>
      </c>
      <c r="F215">
        <v>2670</v>
      </c>
      <c r="G215">
        <v>42720</v>
      </c>
    </row>
    <row r="216" spans="1:7" x14ac:dyDescent="0.2">
      <c r="A216">
        <v>215</v>
      </c>
      <c r="B216" t="s">
        <v>215</v>
      </c>
      <c r="C216" t="s">
        <v>38</v>
      </c>
      <c r="D216" t="s">
        <v>37</v>
      </c>
      <c r="E216">
        <v>28</v>
      </c>
      <c r="F216">
        <v>3860</v>
      </c>
      <c r="G216">
        <v>108080</v>
      </c>
    </row>
    <row r="217" spans="1:7" x14ac:dyDescent="0.2">
      <c r="A217">
        <v>216</v>
      </c>
      <c r="B217" t="s">
        <v>216</v>
      </c>
      <c r="C217" t="s">
        <v>36</v>
      </c>
      <c r="D217" t="s">
        <v>42</v>
      </c>
      <c r="E217">
        <v>19</v>
      </c>
      <c r="F217">
        <v>4720</v>
      </c>
      <c r="G217">
        <v>89680</v>
      </c>
    </row>
    <row r="218" spans="1:7" x14ac:dyDescent="0.2">
      <c r="A218">
        <v>217</v>
      </c>
      <c r="B218" t="s">
        <v>217</v>
      </c>
      <c r="C218" t="s">
        <v>49</v>
      </c>
      <c r="D218" t="s">
        <v>35</v>
      </c>
      <c r="E218">
        <v>16</v>
      </c>
      <c r="F218">
        <v>3380</v>
      </c>
      <c r="G218">
        <v>54080</v>
      </c>
    </row>
    <row r="219" spans="1:7" x14ac:dyDescent="0.2">
      <c r="A219">
        <v>218</v>
      </c>
      <c r="B219" t="s">
        <v>217</v>
      </c>
      <c r="C219" t="s">
        <v>41</v>
      </c>
      <c r="D219" t="s">
        <v>35</v>
      </c>
      <c r="E219">
        <v>4</v>
      </c>
      <c r="F219">
        <v>3340</v>
      </c>
      <c r="G219">
        <v>13360</v>
      </c>
    </row>
    <row r="220" spans="1:7" x14ac:dyDescent="0.2">
      <c r="A220">
        <v>219</v>
      </c>
      <c r="B220" t="s">
        <v>218</v>
      </c>
      <c r="C220" t="s">
        <v>45</v>
      </c>
      <c r="D220" t="s">
        <v>33</v>
      </c>
      <c r="E220">
        <v>35</v>
      </c>
      <c r="F220">
        <v>19690</v>
      </c>
      <c r="G220">
        <v>689150</v>
      </c>
    </row>
    <row r="221" spans="1:7" x14ac:dyDescent="0.2">
      <c r="A221">
        <v>220</v>
      </c>
      <c r="B221" t="s">
        <v>218</v>
      </c>
      <c r="C221" t="s">
        <v>32</v>
      </c>
      <c r="D221" t="s">
        <v>51</v>
      </c>
      <c r="E221">
        <v>13</v>
      </c>
      <c r="F221">
        <v>15230</v>
      </c>
      <c r="G221">
        <v>197990</v>
      </c>
    </row>
    <row r="222" spans="1:7" x14ac:dyDescent="0.2">
      <c r="A222">
        <v>221</v>
      </c>
      <c r="B222" t="s">
        <v>219</v>
      </c>
      <c r="C222" t="s">
        <v>50</v>
      </c>
      <c r="D222" t="s">
        <v>39</v>
      </c>
      <c r="E222">
        <v>35</v>
      </c>
      <c r="F222">
        <v>2860</v>
      </c>
      <c r="G222">
        <v>100100</v>
      </c>
    </row>
    <row r="223" spans="1:7" x14ac:dyDescent="0.2">
      <c r="A223">
        <v>222</v>
      </c>
      <c r="C223" t="s">
        <v>36</v>
      </c>
      <c r="D223" t="s">
        <v>33</v>
      </c>
      <c r="E223">
        <v>37</v>
      </c>
      <c r="F223">
        <v>17720</v>
      </c>
      <c r="G223">
        <v>655640</v>
      </c>
    </row>
    <row r="224" spans="1:7" x14ac:dyDescent="0.2">
      <c r="A224">
        <v>223</v>
      </c>
      <c r="B224" t="s">
        <v>220</v>
      </c>
      <c r="C224" t="s">
        <v>32</v>
      </c>
      <c r="D224" t="s">
        <v>51</v>
      </c>
      <c r="E224">
        <v>30</v>
      </c>
      <c r="F224">
        <v>15510</v>
      </c>
      <c r="G224">
        <v>465300</v>
      </c>
    </row>
    <row r="225" spans="1:7" x14ac:dyDescent="0.2">
      <c r="A225">
        <v>224</v>
      </c>
      <c r="B225" t="s">
        <v>221</v>
      </c>
      <c r="C225" t="s">
        <v>41</v>
      </c>
      <c r="D225" t="s">
        <v>33</v>
      </c>
      <c r="E225">
        <v>13</v>
      </c>
      <c r="F225">
        <v>18170</v>
      </c>
      <c r="G225">
        <v>236210</v>
      </c>
    </row>
    <row r="226" spans="1:7" x14ac:dyDescent="0.2">
      <c r="A226">
        <v>225</v>
      </c>
      <c r="B226" t="s">
        <v>221</v>
      </c>
      <c r="C226" t="s">
        <v>32</v>
      </c>
      <c r="D226" t="s">
        <v>44</v>
      </c>
      <c r="E226">
        <v>9</v>
      </c>
      <c r="F226">
        <v>3760</v>
      </c>
    </row>
    <row r="227" spans="1:7" x14ac:dyDescent="0.2">
      <c r="A227">
        <v>226</v>
      </c>
      <c r="B227" t="s">
        <v>221</v>
      </c>
      <c r="C227" t="s">
        <v>47</v>
      </c>
      <c r="D227" t="s">
        <v>42</v>
      </c>
      <c r="E227">
        <v>28</v>
      </c>
      <c r="F227">
        <v>4510</v>
      </c>
      <c r="G227">
        <v>126280</v>
      </c>
    </row>
    <row r="228" spans="1:7" x14ac:dyDescent="0.2">
      <c r="A228">
        <v>227</v>
      </c>
      <c r="B228" t="s">
        <v>222</v>
      </c>
      <c r="C228" t="s">
        <v>49</v>
      </c>
      <c r="D228" t="s">
        <v>51</v>
      </c>
      <c r="E228">
        <v>30</v>
      </c>
      <c r="F228">
        <v>14150</v>
      </c>
      <c r="G228">
        <v>424500</v>
      </c>
    </row>
    <row r="229" spans="1:7" x14ac:dyDescent="0.2">
      <c r="A229">
        <v>228</v>
      </c>
      <c r="B229" t="s">
        <v>222</v>
      </c>
      <c r="C229" t="s">
        <v>41</v>
      </c>
      <c r="D229" t="s">
        <v>48</v>
      </c>
      <c r="E229">
        <v>39</v>
      </c>
      <c r="F229">
        <v>1810</v>
      </c>
      <c r="G229">
        <v>70590</v>
      </c>
    </row>
    <row r="230" spans="1:7" x14ac:dyDescent="0.2">
      <c r="A230">
        <v>229</v>
      </c>
      <c r="B230" t="s">
        <v>223</v>
      </c>
      <c r="C230" t="s">
        <v>50</v>
      </c>
      <c r="D230" t="s">
        <v>40</v>
      </c>
      <c r="E230">
        <v>40</v>
      </c>
      <c r="F230">
        <v>5650</v>
      </c>
      <c r="G230">
        <v>226000</v>
      </c>
    </row>
    <row r="231" spans="1:7" x14ac:dyDescent="0.2">
      <c r="A231">
        <v>230</v>
      </c>
      <c r="B231" t="s">
        <v>223</v>
      </c>
      <c r="C231" t="s">
        <v>46</v>
      </c>
      <c r="D231" t="s">
        <v>48</v>
      </c>
      <c r="E231">
        <v>15</v>
      </c>
      <c r="F231">
        <v>1740</v>
      </c>
      <c r="G231">
        <v>26100</v>
      </c>
    </row>
    <row r="232" spans="1:7" x14ac:dyDescent="0.2">
      <c r="A232">
        <v>231</v>
      </c>
      <c r="B232" t="s">
        <v>224</v>
      </c>
      <c r="C232" t="s">
        <v>36</v>
      </c>
      <c r="D232" t="s">
        <v>42</v>
      </c>
      <c r="E232">
        <v>27</v>
      </c>
      <c r="F232">
        <v>4060</v>
      </c>
      <c r="G232">
        <v>109620</v>
      </c>
    </row>
    <row r="233" spans="1:7" x14ac:dyDescent="0.2">
      <c r="A233">
        <v>232</v>
      </c>
      <c r="B233" t="s">
        <v>225</v>
      </c>
      <c r="C233" t="s">
        <v>47</v>
      </c>
      <c r="D233" t="s">
        <v>43</v>
      </c>
      <c r="E233">
        <v>20</v>
      </c>
      <c r="F233">
        <v>5030</v>
      </c>
      <c r="G233">
        <v>100600</v>
      </c>
    </row>
    <row r="234" spans="1:7" x14ac:dyDescent="0.2">
      <c r="A234">
        <v>233</v>
      </c>
      <c r="B234" t="s">
        <v>226</v>
      </c>
      <c r="C234" t="s">
        <v>36</v>
      </c>
      <c r="D234" t="s">
        <v>42</v>
      </c>
      <c r="E234">
        <v>10</v>
      </c>
      <c r="F234">
        <v>4380</v>
      </c>
      <c r="G234">
        <v>43800</v>
      </c>
    </row>
    <row r="235" spans="1:7" x14ac:dyDescent="0.2">
      <c r="A235">
        <v>234</v>
      </c>
      <c r="B235" t="s">
        <v>226</v>
      </c>
      <c r="C235" t="s">
        <v>36</v>
      </c>
      <c r="D235" t="s">
        <v>39</v>
      </c>
      <c r="E235">
        <v>36</v>
      </c>
      <c r="F235">
        <v>2530</v>
      </c>
      <c r="G235">
        <v>91080</v>
      </c>
    </row>
    <row r="236" spans="1:7" x14ac:dyDescent="0.2">
      <c r="A236">
        <v>235</v>
      </c>
      <c r="B236" t="s">
        <v>227</v>
      </c>
      <c r="C236" t="s">
        <v>36</v>
      </c>
      <c r="D236" t="s">
        <v>35</v>
      </c>
      <c r="E236">
        <v>4</v>
      </c>
      <c r="F236">
        <v>2980</v>
      </c>
    </row>
    <row r="237" spans="1:7" x14ac:dyDescent="0.2">
      <c r="A237">
        <v>236</v>
      </c>
      <c r="B237" t="s">
        <v>228</v>
      </c>
      <c r="C237" t="s">
        <v>36</v>
      </c>
      <c r="D237" t="s">
        <v>33</v>
      </c>
      <c r="E237">
        <v>17</v>
      </c>
      <c r="F237">
        <v>19860</v>
      </c>
      <c r="G237">
        <v>337620</v>
      </c>
    </row>
    <row r="238" spans="1:7" x14ac:dyDescent="0.2">
      <c r="A238">
        <v>237</v>
      </c>
      <c r="B238" t="s">
        <v>228</v>
      </c>
      <c r="C238" t="s">
        <v>49</v>
      </c>
      <c r="D238" t="s">
        <v>37</v>
      </c>
      <c r="E238">
        <v>33</v>
      </c>
      <c r="F238">
        <v>3580</v>
      </c>
      <c r="G238">
        <v>118140</v>
      </c>
    </row>
    <row r="239" spans="1:7" x14ac:dyDescent="0.2">
      <c r="A239">
        <v>238</v>
      </c>
      <c r="C239" t="s">
        <v>32</v>
      </c>
      <c r="D239" t="s">
        <v>42</v>
      </c>
      <c r="E239">
        <v>27</v>
      </c>
      <c r="F239">
        <v>4620</v>
      </c>
      <c r="G239">
        <v>124740</v>
      </c>
    </row>
    <row r="240" spans="1:7" x14ac:dyDescent="0.2">
      <c r="A240">
        <v>239</v>
      </c>
      <c r="B240" t="s">
        <v>228</v>
      </c>
      <c r="C240" t="s">
        <v>38</v>
      </c>
      <c r="D240" t="s">
        <v>39</v>
      </c>
      <c r="E240">
        <v>5</v>
      </c>
      <c r="F240">
        <v>2750</v>
      </c>
      <c r="G240">
        <v>13750</v>
      </c>
    </row>
    <row r="241" spans="1:7" x14ac:dyDescent="0.2">
      <c r="A241">
        <v>240</v>
      </c>
      <c r="B241" t="s">
        <v>229</v>
      </c>
      <c r="C241" t="s">
        <v>38</v>
      </c>
      <c r="D241" t="s">
        <v>33</v>
      </c>
      <c r="E241">
        <v>35</v>
      </c>
      <c r="F241">
        <v>20360</v>
      </c>
      <c r="G241">
        <v>712600</v>
      </c>
    </row>
    <row r="242" spans="1:7" x14ac:dyDescent="0.2">
      <c r="A242">
        <v>241</v>
      </c>
      <c r="B242" t="s">
        <v>229</v>
      </c>
      <c r="C242" t="s">
        <v>46</v>
      </c>
      <c r="D242" t="s">
        <v>35</v>
      </c>
      <c r="E242">
        <v>35</v>
      </c>
      <c r="F242">
        <v>2980</v>
      </c>
      <c r="G242">
        <v>104300</v>
      </c>
    </row>
    <row r="243" spans="1:7" x14ac:dyDescent="0.2">
      <c r="A243">
        <v>242</v>
      </c>
      <c r="B243" t="s">
        <v>229</v>
      </c>
      <c r="C243" t="s">
        <v>32</v>
      </c>
      <c r="D243" t="s">
        <v>48</v>
      </c>
      <c r="E243">
        <v>1</v>
      </c>
      <c r="F243">
        <v>1910</v>
      </c>
      <c r="G243">
        <v>1910</v>
      </c>
    </row>
    <row r="244" spans="1:7" x14ac:dyDescent="0.2">
      <c r="A244">
        <v>243</v>
      </c>
      <c r="B244" t="s">
        <v>229</v>
      </c>
      <c r="C244" t="s">
        <v>38</v>
      </c>
      <c r="D244" t="s">
        <v>33</v>
      </c>
      <c r="E244">
        <v>21</v>
      </c>
      <c r="F244">
        <v>18610</v>
      </c>
      <c r="G244">
        <v>390810</v>
      </c>
    </row>
    <row r="245" spans="1:7" x14ac:dyDescent="0.2">
      <c r="A245">
        <v>244</v>
      </c>
      <c r="B245" t="s">
        <v>229</v>
      </c>
      <c r="C245" t="s">
        <v>36</v>
      </c>
      <c r="D245" t="s">
        <v>42</v>
      </c>
      <c r="E245">
        <v>14</v>
      </c>
      <c r="F245">
        <v>4200</v>
      </c>
      <c r="G245">
        <v>58800</v>
      </c>
    </row>
    <row r="246" spans="1:7" x14ac:dyDescent="0.2">
      <c r="A246">
        <v>245</v>
      </c>
      <c r="B246" t="s">
        <v>230</v>
      </c>
      <c r="C246" t="s">
        <v>38</v>
      </c>
      <c r="D246" t="s">
        <v>35</v>
      </c>
      <c r="E246">
        <v>16</v>
      </c>
      <c r="F246">
        <v>3100</v>
      </c>
      <c r="G246">
        <v>49600</v>
      </c>
    </row>
    <row r="247" spans="1:7" x14ac:dyDescent="0.2">
      <c r="A247">
        <v>246</v>
      </c>
      <c r="B247" t="s">
        <v>231</v>
      </c>
      <c r="C247" t="s">
        <v>47</v>
      </c>
      <c r="D247" t="s">
        <v>35</v>
      </c>
      <c r="E247">
        <v>6</v>
      </c>
      <c r="F247">
        <v>3260</v>
      </c>
      <c r="G247">
        <v>19560</v>
      </c>
    </row>
    <row r="248" spans="1:7" x14ac:dyDescent="0.2">
      <c r="A248">
        <v>247</v>
      </c>
      <c r="B248" t="s">
        <v>231</v>
      </c>
      <c r="C248" t="s">
        <v>36</v>
      </c>
      <c r="D248" t="s">
        <v>42</v>
      </c>
      <c r="E248">
        <v>19</v>
      </c>
      <c r="F248">
        <v>4370</v>
      </c>
      <c r="G248">
        <v>83030</v>
      </c>
    </row>
    <row r="249" spans="1:7" x14ac:dyDescent="0.2">
      <c r="A249">
        <v>248</v>
      </c>
      <c r="B249" t="s">
        <v>231</v>
      </c>
      <c r="C249" t="s">
        <v>36</v>
      </c>
      <c r="D249" t="s">
        <v>39</v>
      </c>
      <c r="E249">
        <v>30</v>
      </c>
      <c r="F249">
        <v>2740</v>
      </c>
      <c r="G249">
        <v>82200</v>
      </c>
    </row>
    <row r="250" spans="1:7" x14ac:dyDescent="0.2">
      <c r="A250">
        <v>249</v>
      </c>
      <c r="B250" t="s">
        <v>232</v>
      </c>
      <c r="C250" t="s">
        <v>50</v>
      </c>
      <c r="D250" t="s">
        <v>51</v>
      </c>
      <c r="E250">
        <v>20</v>
      </c>
      <c r="F250">
        <v>14800</v>
      </c>
      <c r="G250">
        <v>296000</v>
      </c>
    </row>
    <row r="251" spans="1:7" x14ac:dyDescent="0.2">
      <c r="A251">
        <v>250</v>
      </c>
      <c r="B251" t="s">
        <v>233</v>
      </c>
      <c r="C251" t="s">
        <v>50</v>
      </c>
      <c r="D251" t="s">
        <v>35</v>
      </c>
      <c r="E251">
        <v>30</v>
      </c>
      <c r="F251">
        <v>3400</v>
      </c>
      <c r="G251">
        <v>102000</v>
      </c>
    </row>
    <row r="252" spans="1:7" x14ac:dyDescent="0.2">
      <c r="A252">
        <v>251</v>
      </c>
      <c r="B252" t="s">
        <v>233</v>
      </c>
      <c r="C252" t="s">
        <v>49</v>
      </c>
      <c r="D252" t="s">
        <v>43</v>
      </c>
      <c r="E252">
        <v>30</v>
      </c>
      <c r="F252">
        <v>5100</v>
      </c>
      <c r="G252">
        <v>153000</v>
      </c>
    </row>
    <row r="253" spans="1:7" x14ac:dyDescent="0.2">
      <c r="A253">
        <v>252</v>
      </c>
      <c r="B253" t="s">
        <v>233</v>
      </c>
      <c r="C253" t="s">
        <v>45</v>
      </c>
      <c r="D253" t="s">
        <v>40</v>
      </c>
      <c r="E253">
        <v>21</v>
      </c>
      <c r="F253">
        <v>5150</v>
      </c>
      <c r="G253">
        <v>108150</v>
      </c>
    </row>
    <row r="254" spans="1:7" x14ac:dyDescent="0.2">
      <c r="A254">
        <v>253</v>
      </c>
      <c r="B254" t="s">
        <v>234</v>
      </c>
      <c r="C254" t="s">
        <v>47</v>
      </c>
      <c r="D254" t="s">
        <v>43</v>
      </c>
      <c r="E254">
        <v>16</v>
      </c>
      <c r="F254">
        <v>5390</v>
      </c>
    </row>
    <row r="255" spans="1:7" x14ac:dyDescent="0.2">
      <c r="A255">
        <v>254</v>
      </c>
      <c r="B255" t="s">
        <v>234</v>
      </c>
      <c r="C255" t="s">
        <v>38</v>
      </c>
      <c r="D255" t="s">
        <v>43</v>
      </c>
      <c r="E255">
        <v>10</v>
      </c>
      <c r="F255">
        <v>5080</v>
      </c>
      <c r="G255">
        <v>50800</v>
      </c>
    </row>
    <row r="256" spans="1:7" x14ac:dyDescent="0.2">
      <c r="A256">
        <v>255</v>
      </c>
      <c r="B256" t="s">
        <v>235</v>
      </c>
      <c r="C256" t="s">
        <v>38</v>
      </c>
      <c r="D256" t="s">
        <v>42</v>
      </c>
      <c r="E256">
        <v>5</v>
      </c>
      <c r="F256">
        <v>4250</v>
      </c>
      <c r="G256">
        <v>21250</v>
      </c>
    </row>
    <row r="257" spans="1:7" x14ac:dyDescent="0.2">
      <c r="A257">
        <v>256</v>
      </c>
      <c r="B257" t="s">
        <v>236</v>
      </c>
      <c r="C257" t="s">
        <v>47</v>
      </c>
      <c r="D257" t="s">
        <v>40</v>
      </c>
      <c r="E257">
        <v>38</v>
      </c>
      <c r="F257">
        <v>5150</v>
      </c>
      <c r="G257">
        <v>195700</v>
      </c>
    </row>
    <row r="258" spans="1:7" x14ac:dyDescent="0.2">
      <c r="A258">
        <v>257</v>
      </c>
      <c r="B258" t="s">
        <v>236</v>
      </c>
      <c r="C258" t="s">
        <v>49</v>
      </c>
      <c r="D258" t="s">
        <v>35</v>
      </c>
      <c r="E258">
        <v>28</v>
      </c>
      <c r="F258">
        <v>3240</v>
      </c>
    </row>
    <row r="259" spans="1:7" x14ac:dyDescent="0.2">
      <c r="A259">
        <v>258</v>
      </c>
      <c r="B259" t="s">
        <v>236</v>
      </c>
      <c r="C259" t="s">
        <v>46</v>
      </c>
      <c r="D259" t="s">
        <v>37</v>
      </c>
      <c r="E259">
        <v>2</v>
      </c>
      <c r="F259">
        <v>3390</v>
      </c>
    </row>
    <row r="260" spans="1:7" x14ac:dyDescent="0.2">
      <c r="A260">
        <v>259</v>
      </c>
      <c r="B260" t="s">
        <v>236</v>
      </c>
      <c r="C260" t="s">
        <v>38</v>
      </c>
      <c r="D260" t="s">
        <v>51</v>
      </c>
      <c r="E260">
        <v>32</v>
      </c>
      <c r="F260">
        <v>13650</v>
      </c>
      <c r="G260">
        <v>436800</v>
      </c>
    </row>
    <row r="261" spans="1:7" x14ac:dyDescent="0.2">
      <c r="A261">
        <v>260</v>
      </c>
      <c r="B261" t="s">
        <v>236</v>
      </c>
      <c r="C261" t="s">
        <v>50</v>
      </c>
      <c r="D261" t="s">
        <v>39</v>
      </c>
      <c r="E261">
        <v>24</v>
      </c>
      <c r="F261">
        <v>2680</v>
      </c>
      <c r="G261">
        <v>64320</v>
      </c>
    </row>
    <row r="262" spans="1:7" x14ac:dyDescent="0.2">
      <c r="A262">
        <v>261</v>
      </c>
      <c r="B262" t="s">
        <v>237</v>
      </c>
      <c r="C262" t="s">
        <v>45</v>
      </c>
      <c r="D262" t="s">
        <v>42</v>
      </c>
      <c r="E262">
        <v>9</v>
      </c>
      <c r="F262">
        <v>4410</v>
      </c>
      <c r="G262">
        <v>39690</v>
      </c>
    </row>
    <row r="263" spans="1:7" x14ac:dyDescent="0.2">
      <c r="A263">
        <v>262</v>
      </c>
      <c r="B263" t="s">
        <v>237</v>
      </c>
      <c r="C263" t="s">
        <v>49</v>
      </c>
      <c r="D263" t="s">
        <v>48</v>
      </c>
      <c r="E263">
        <v>37</v>
      </c>
      <c r="F263">
        <v>1900</v>
      </c>
      <c r="G263">
        <v>70300</v>
      </c>
    </row>
    <row r="264" spans="1:7" x14ac:dyDescent="0.2">
      <c r="A264">
        <v>263</v>
      </c>
      <c r="B264" t="s">
        <v>238</v>
      </c>
      <c r="C264" t="s">
        <v>49</v>
      </c>
      <c r="D264" t="s">
        <v>35</v>
      </c>
      <c r="E264">
        <v>34</v>
      </c>
      <c r="F264">
        <v>3440</v>
      </c>
      <c r="G264">
        <v>116960</v>
      </c>
    </row>
    <row r="265" spans="1:7" x14ac:dyDescent="0.2">
      <c r="A265">
        <v>264</v>
      </c>
      <c r="B265" t="s">
        <v>239</v>
      </c>
      <c r="C265" t="s">
        <v>32</v>
      </c>
      <c r="D265" t="s">
        <v>37</v>
      </c>
      <c r="E265">
        <v>5</v>
      </c>
      <c r="F265">
        <v>3350</v>
      </c>
      <c r="G265">
        <v>16750</v>
      </c>
    </row>
    <row r="266" spans="1:7" x14ac:dyDescent="0.2">
      <c r="A266">
        <v>265</v>
      </c>
      <c r="B266" t="s">
        <v>239</v>
      </c>
      <c r="C266" t="s">
        <v>41</v>
      </c>
      <c r="D266" t="s">
        <v>44</v>
      </c>
      <c r="E266">
        <v>11</v>
      </c>
      <c r="F266">
        <v>4110</v>
      </c>
      <c r="G266">
        <v>45210</v>
      </c>
    </row>
    <row r="267" spans="1:7" x14ac:dyDescent="0.2">
      <c r="A267">
        <v>266</v>
      </c>
      <c r="B267" t="s">
        <v>239</v>
      </c>
      <c r="C267" t="s">
        <v>46</v>
      </c>
      <c r="D267" t="s">
        <v>39</v>
      </c>
      <c r="E267">
        <v>29</v>
      </c>
      <c r="F267">
        <v>2720</v>
      </c>
      <c r="G267">
        <v>78880</v>
      </c>
    </row>
    <row r="268" spans="1:7" x14ac:dyDescent="0.2">
      <c r="A268">
        <v>267</v>
      </c>
      <c r="B268" t="s">
        <v>240</v>
      </c>
      <c r="C268" t="s">
        <v>38</v>
      </c>
      <c r="D268" t="s">
        <v>42</v>
      </c>
      <c r="E268">
        <v>23</v>
      </c>
      <c r="F268">
        <v>4620</v>
      </c>
      <c r="G268">
        <v>106260</v>
      </c>
    </row>
    <row r="269" spans="1:7" x14ac:dyDescent="0.2">
      <c r="A269">
        <v>268</v>
      </c>
      <c r="B269" t="s">
        <v>241</v>
      </c>
      <c r="C269" t="s">
        <v>46</v>
      </c>
      <c r="D269" t="s">
        <v>40</v>
      </c>
      <c r="E269">
        <v>1</v>
      </c>
      <c r="F269">
        <v>5570</v>
      </c>
      <c r="G269">
        <v>5570</v>
      </c>
    </row>
    <row r="270" spans="1:7" x14ac:dyDescent="0.2">
      <c r="A270">
        <v>269</v>
      </c>
      <c r="B270" t="s">
        <v>241</v>
      </c>
      <c r="C270" t="s">
        <v>38</v>
      </c>
      <c r="D270" t="s">
        <v>40</v>
      </c>
      <c r="E270">
        <v>3</v>
      </c>
      <c r="F270">
        <v>5230</v>
      </c>
      <c r="G270">
        <v>15690</v>
      </c>
    </row>
    <row r="271" spans="1:7" x14ac:dyDescent="0.2">
      <c r="A271">
        <v>270</v>
      </c>
      <c r="B271" t="s">
        <v>242</v>
      </c>
      <c r="C271" t="s">
        <v>45</v>
      </c>
      <c r="D271" t="s">
        <v>35</v>
      </c>
      <c r="E271">
        <v>28</v>
      </c>
      <c r="F271">
        <v>3080</v>
      </c>
      <c r="G271">
        <v>86240</v>
      </c>
    </row>
    <row r="272" spans="1:7" x14ac:dyDescent="0.2">
      <c r="A272">
        <v>271</v>
      </c>
      <c r="B272" t="s">
        <v>243</v>
      </c>
      <c r="C272" t="s">
        <v>32</v>
      </c>
      <c r="D272" t="s">
        <v>33</v>
      </c>
      <c r="E272">
        <v>22</v>
      </c>
      <c r="F272">
        <v>20020</v>
      </c>
      <c r="G272">
        <v>440440</v>
      </c>
    </row>
    <row r="273" spans="1:7" x14ac:dyDescent="0.2">
      <c r="A273">
        <v>272</v>
      </c>
      <c r="B273" t="s">
        <v>244</v>
      </c>
      <c r="C273" t="s">
        <v>50</v>
      </c>
      <c r="D273" t="s">
        <v>42</v>
      </c>
      <c r="E273">
        <v>27</v>
      </c>
      <c r="F273">
        <v>4160</v>
      </c>
      <c r="G273">
        <v>112320</v>
      </c>
    </row>
    <row r="274" spans="1:7" x14ac:dyDescent="0.2">
      <c r="A274">
        <v>273</v>
      </c>
      <c r="B274" t="s">
        <v>245</v>
      </c>
      <c r="C274" t="s">
        <v>47</v>
      </c>
      <c r="D274" t="s">
        <v>33</v>
      </c>
      <c r="E274">
        <v>40</v>
      </c>
      <c r="F274">
        <v>18120</v>
      </c>
      <c r="G274">
        <v>724800</v>
      </c>
    </row>
    <row r="275" spans="1:7" x14ac:dyDescent="0.2">
      <c r="A275">
        <v>274</v>
      </c>
      <c r="B275" t="s">
        <v>246</v>
      </c>
      <c r="C275" t="s">
        <v>49</v>
      </c>
      <c r="D275" t="s">
        <v>33</v>
      </c>
      <c r="E275">
        <v>1</v>
      </c>
      <c r="F275">
        <v>18760</v>
      </c>
      <c r="G275">
        <v>18760</v>
      </c>
    </row>
    <row r="276" spans="1:7" x14ac:dyDescent="0.2">
      <c r="A276">
        <v>275</v>
      </c>
      <c r="B276" t="s">
        <v>247</v>
      </c>
      <c r="C276" t="s">
        <v>41</v>
      </c>
      <c r="D276" t="s">
        <v>51</v>
      </c>
      <c r="E276">
        <v>20</v>
      </c>
      <c r="F276">
        <v>14180</v>
      </c>
      <c r="G276">
        <v>283600</v>
      </c>
    </row>
    <row r="277" spans="1:7" x14ac:dyDescent="0.2">
      <c r="A277">
        <v>276</v>
      </c>
      <c r="B277" t="s">
        <v>247</v>
      </c>
      <c r="C277" t="s">
        <v>32</v>
      </c>
      <c r="D277" t="s">
        <v>42</v>
      </c>
      <c r="E277">
        <v>40</v>
      </c>
      <c r="F277">
        <v>4050</v>
      </c>
      <c r="G277">
        <v>162000</v>
      </c>
    </row>
    <row r="278" spans="1:7" x14ac:dyDescent="0.2">
      <c r="A278">
        <v>277</v>
      </c>
      <c r="B278" t="s">
        <v>247</v>
      </c>
      <c r="D278" t="s">
        <v>44</v>
      </c>
      <c r="E278">
        <v>23</v>
      </c>
      <c r="F278">
        <v>4090</v>
      </c>
      <c r="G278">
        <v>94070</v>
      </c>
    </row>
    <row r="279" spans="1:7" x14ac:dyDescent="0.2">
      <c r="A279">
        <v>278</v>
      </c>
      <c r="B279" t="s">
        <v>247</v>
      </c>
      <c r="C279" t="s">
        <v>38</v>
      </c>
      <c r="D279" t="s">
        <v>43</v>
      </c>
      <c r="E279">
        <v>21</v>
      </c>
      <c r="F279">
        <v>4860</v>
      </c>
      <c r="G279">
        <v>102060</v>
      </c>
    </row>
    <row r="280" spans="1:7" x14ac:dyDescent="0.2">
      <c r="A280">
        <v>279</v>
      </c>
      <c r="B280" t="s">
        <v>248</v>
      </c>
      <c r="C280" t="s">
        <v>32</v>
      </c>
      <c r="D280" t="s">
        <v>51</v>
      </c>
      <c r="E280">
        <v>36</v>
      </c>
      <c r="F280">
        <v>15160</v>
      </c>
      <c r="G280">
        <v>545760</v>
      </c>
    </row>
    <row r="281" spans="1:7" x14ac:dyDescent="0.2">
      <c r="A281">
        <v>280</v>
      </c>
      <c r="B281" t="s">
        <v>248</v>
      </c>
      <c r="C281" t="s">
        <v>45</v>
      </c>
      <c r="D281" t="s">
        <v>35</v>
      </c>
      <c r="E281">
        <v>38</v>
      </c>
      <c r="F281">
        <v>3260</v>
      </c>
      <c r="G281">
        <v>123880</v>
      </c>
    </row>
    <row r="282" spans="1:7" x14ac:dyDescent="0.2">
      <c r="A282">
        <v>281</v>
      </c>
      <c r="B282" t="s">
        <v>248</v>
      </c>
      <c r="C282" t="s">
        <v>49</v>
      </c>
      <c r="D282" t="s">
        <v>42</v>
      </c>
      <c r="E282">
        <v>32</v>
      </c>
      <c r="F282">
        <v>4490</v>
      </c>
      <c r="G282">
        <v>143680</v>
      </c>
    </row>
    <row r="283" spans="1:7" x14ac:dyDescent="0.2">
      <c r="A283">
        <v>282</v>
      </c>
      <c r="B283" t="s">
        <v>249</v>
      </c>
      <c r="C283" t="s">
        <v>32</v>
      </c>
      <c r="D283" t="s">
        <v>35</v>
      </c>
      <c r="E283">
        <v>10</v>
      </c>
      <c r="F283">
        <v>3070</v>
      </c>
      <c r="G283">
        <v>30700</v>
      </c>
    </row>
    <row r="284" spans="1:7" x14ac:dyDescent="0.2">
      <c r="A284">
        <v>283</v>
      </c>
      <c r="B284" t="s">
        <v>250</v>
      </c>
      <c r="C284" t="s">
        <v>36</v>
      </c>
      <c r="D284" t="s">
        <v>33</v>
      </c>
      <c r="E284">
        <v>30</v>
      </c>
      <c r="F284">
        <v>18280</v>
      </c>
      <c r="G284">
        <v>548400</v>
      </c>
    </row>
    <row r="285" spans="1:7" x14ac:dyDescent="0.2">
      <c r="A285">
        <v>284</v>
      </c>
      <c r="B285" t="s">
        <v>251</v>
      </c>
      <c r="C285" t="s">
        <v>32</v>
      </c>
      <c r="D285" t="s">
        <v>40</v>
      </c>
      <c r="E285">
        <v>38</v>
      </c>
      <c r="F285">
        <v>5240</v>
      </c>
      <c r="G285">
        <v>199120</v>
      </c>
    </row>
    <row r="286" spans="1:7" x14ac:dyDescent="0.2">
      <c r="A286">
        <v>285</v>
      </c>
      <c r="B286" t="s">
        <v>252</v>
      </c>
      <c r="C286" t="s">
        <v>32</v>
      </c>
      <c r="D286" t="s">
        <v>40</v>
      </c>
      <c r="E286">
        <v>1</v>
      </c>
      <c r="F286">
        <v>5550</v>
      </c>
      <c r="G286">
        <v>5550</v>
      </c>
    </row>
    <row r="287" spans="1:7" x14ac:dyDescent="0.2">
      <c r="A287">
        <v>286</v>
      </c>
      <c r="B287" t="s">
        <v>253</v>
      </c>
      <c r="C287" t="s">
        <v>47</v>
      </c>
      <c r="D287" t="s">
        <v>51</v>
      </c>
      <c r="E287">
        <v>28</v>
      </c>
      <c r="F287">
        <v>15530</v>
      </c>
      <c r="G287">
        <v>434840</v>
      </c>
    </row>
    <row r="288" spans="1:7" x14ac:dyDescent="0.2">
      <c r="A288">
        <v>287</v>
      </c>
      <c r="B288" t="s">
        <v>254</v>
      </c>
      <c r="C288" t="s">
        <v>36</v>
      </c>
      <c r="D288" t="s">
        <v>35</v>
      </c>
      <c r="E288">
        <v>11</v>
      </c>
      <c r="F288">
        <v>3240</v>
      </c>
      <c r="G288">
        <v>35640</v>
      </c>
    </row>
    <row r="289" spans="1:7" x14ac:dyDescent="0.2">
      <c r="A289">
        <v>288</v>
      </c>
      <c r="B289" t="s">
        <v>255</v>
      </c>
      <c r="C289" t="s">
        <v>45</v>
      </c>
      <c r="D289" t="s">
        <v>35</v>
      </c>
      <c r="E289">
        <v>19</v>
      </c>
      <c r="F289">
        <v>3020</v>
      </c>
      <c r="G289">
        <v>57380</v>
      </c>
    </row>
    <row r="290" spans="1:7" x14ac:dyDescent="0.2">
      <c r="A290">
        <v>289</v>
      </c>
      <c r="B290" t="s">
        <v>255</v>
      </c>
      <c r="C290" t="s">
        <v>32</v>
      </c>
      <c r="D290" t="s">
        <v>35</v>
      </c>
      <c r="E290">
        <v>30</v>
      </c>
      <c r="F290">
        <v>3120</v>
      </c>
      <c r="G290">
        <v>93600</v>
      </c>
    </row>
    <row r="291" spans="1:7" x14ac:dyDescent="0.2">
      <c r="A291">
        <v>290</v>
      </c>
      <c r="B291" t="s">
        <v>256</v>
      </c>
      <c r="D291" t="s">
        <v>35</v>
      </c>
      <c r="E291">
        <v>1</v>
      </c>
      <c r="F291">
        <v>3410</v>
      </c>
      <c r="G291">
        <v>3410</v>
      </c>
    </row>
    <row r="292" spans="1:7" x14ac:dyDescent="0.2">
      <c r="A292">
        <v>291</v>
      </c>
      <c r="B292" t="s">
        <v>257</v>
      </c>
      <c r="C292" t="s">
        <v>32</v>
      </c>
      <c r="D292" t="s">
        <v>35</v>
      </c>
      <c r="E292">
        <v>39</v>
      </c>
      <c r="F292">
        <v>3240</v>
      </c>
      <c r="G292">
        <v>126360</v>
      </c>
    </row>
    <row r="293" spans="1:7" x14ac:dyDescent="0.2">
      <c r="A293">
        <v>292</v>
      </c>
      <c r="B293" t="s">
        <v>257</v>
      </c>
      <c r="C293" t="s">
        <v>32</v>
      </c>
      <c r="D293" t="s">
        <v>33</v>
      </c>
      <c r="E293">
        <v>18</v>
      </c>
      <c r="F293">
        <v>18310</v>
      </c>
      <c r="G293">
        <v>329580</v>
      </c>
    </row>
    <row r="294" spans="1:7" x14ac:dyDescent="0.2">
      <c r="A294">
        <v>293</v>
      </c>
      <c r="B294" t="s">
        <v>258</v>
      </c>
      <c r="C294" t="s">
        <v>49</v>
      </c>
      <c r="D294" t="s">
        <v>35</v>
      </c>
      <c r="E294">
        <v>21</v>
      </c>
      <c r="F294">
        <v>2970</v>
      </c>
      <c r="G294">
        <v>62370</v>
      </c>
    </row>
    <row r="295" spans="1:7" x14ac:dyDescent="0.2">
      <c r="A295">
        <v>294</v>
      </c>
      <c r="B295" t="s">
        <v>258</v>
      </c>
      <c r="C295" t="s">
        <v>45</v>
      </c>
      <c r="D295" t="s">
        <v>37</v>
      </c>
      <c r="E295">
        <v>10</v>
      </c>
      <c r="F295">
        <v>3420</v>
      </c>
      <c r="G295">
        <v>34200</v>
      </c>
    </row>
    <row r="296" spans="1:7" x14ac:dyDescent="0.2">
      <c r="A296">
        <v>295</v>
      </c>
      <c r="B296" t="s">
        <v>259</v>
      </c>
      <c r="C296" t="s">
        <v>34</v>
      </c>
      <c r="D296" t="s">
        <v>40</v>
      </c>
      <c r="E296">
        <v>31</v>
      </c>
      <c r="F296">
        <v>5900</v>
      </c>
      <c r="G296">
        <v>182900</v>
      </c>
    </row>
    <row r="297" spans="1:7" x14ac:dyDescent="0.2">
      <c r="A297">
        <v>296</v>
      </c>
      <c r="B297" t="s">
        <v>259</v>
      </c>
      <c r="C297" t="s">
        <v>46</v>
      </c>
      <c r="D297" t="s">
        <v>44</v>
      </c>
      <c r="E297">
        <v>17</v>
      </c>
      <c r="F297">
        <v>3650</v>
      </c>
      <c r="G297">
        <v>62050</v>
      </c>
    </row>
    <row r="298" spans="1:7" x14ac:dyDescent="0.2">
      <c r="A298">
        <v>297</v>
      </c>
      <c r="B298" t="s">
        <v>260</v>
      </c>
      <c r="C298" t="s">
        <v>36</v>
      </c>
      <c r="D298" t="s">
        <v>37</v>
      </c>
      <c r="E298">
        <v>13</v>
      </c>
      <c r="F298">
        <v>3820</v>
      </c>
      <c r="G298">
        <v>49660</v>
      </c>
    </row>
    <row r="299" spans="1:7" x14ac:dyDescent="0.2">
      <c r="A299">
        <v>298</v>
      </c>
      <c r="B299" t="s">
        <v>260</v>
      </c>
      <c r="C299" t="s">
        <v>32</v>
      </c>
      <c r="D299" t="s">
        <v>35</v>
      </c>
      <c r="E299">
        <v>23</v>
      </c>
      <c r="F299">
        <v>3270</v>
      </c>
      <c r="G299">
        <v>75210</v>
      </c>
    </row>
    <row r="300" spans="1:7" x14ac:dyDescent="0.2">
      <c r="A300">
        <v>299</v>
      </c>
      <c r="B300" t="s">
        <v>260</v>
      </c>
      <c r="C300" t="s">
        <v>32</v>
      </c>
      <c r="D300" t="s">
        <v>39</v>
      </c>
      <c r="E300">
        <v>18</v>
      </c>
      <c r="F300">
        <v>2880</v>
      </c>
      <c r="G300">
        <v>51840</v>
      </c>
    </row>
    <row r="301" spans="1:7" x14ac:dyDescent="0.2">
      <c r="A301">
        <v>300</v>
      </c>
      <c r="B301" t="s">
        <v>261</v>
      </c>
      <c r="C301" t="s">
        <v>46</v>
      </c>
      <c r="D301" t="s">
        <v>33</v>
      </c>
      <c r="E301">
        <v>9</v>
      </c>
      <c r="F301">
        <v>19250</v>
      </c>
      <c r="G301">
        <v>173250</v>
      </c>
    </row>
    <row r="302" spans="1:7" x14ac:dyDescent="0.2">
      <c r="A302">
        <v>301</v>
      </c>
      <c r="B302" t="s">
        <v>261</v>
      </c>
      <c r="C302" t="s">
        <v>32</v>
      </c>
      <c r="D302" t="s">
        <v>42</v>
      </c>
      <c r="E302">
        <v>11</v>
      </c>
      <c r="F302">
        <v>4460</v>
      </c>
      <c r="G302">
        <v>49060</v>
      </c>
    </row>
    <row r="303" spans="1:7" x14ac:dyDescent="0.2">
      <c r="A303">
        <v>302</v>
      </c>
      <c r="B303" t="s">
        <v>261</v>
      </c>
      <c r="C303" t="s">
        <v>38</v>
      </c>
      <c r="D303" t="s">
        <v>48</v>
      </c>
      <c r="E303">
        <v>20</v>
      </c>
      <c r="F303">
        <v>1890</v>
      </c>
      <c r="G303">
        <v>37800</v>
      </c>
    </row>
    <row r="304" spans="1:7" x14ac:dyDescent="0.2">
      <c r="A304">
        <v>303</v>
      </c>
      <c r="B304" t="s">
        <v>261</v>
      </c>
      <c r="C304" t="s">
        <v>32</v>
      </c>
      <c r="D304" t="s">
        <v>35</v>
      </c>
      <c r="E304">
        <v>8</v>
      </c>
      <c r="F304">
        <v>3400</v>
      </c>
      <c r="G304">
        <v>27200</v>
      </c>
    </row>
    <row r="305" spans="1:7" x14ac:dyDescent="0.2">
      <c r="A305">
        <v>304</v>
      </c>
      <c r="B305" t="s">
        <v>262</v>
      </c>
      <c r="C305" t="s">
        <v>32</v>
      </c>
      <c r="D305" t="s">
        <v>48</v>
      </c>
      <c r="E305">
        <v>29</v>
      </c>
      <c r="F305">
        <v>1930</v>
      </c>
      <c r="G305">
        <v>55970</v>
      </c>
    </row>
    <row r="306" spans="1:7" x14ac:dyDescent="0.2">
      <c r="A306">
        <v>305</v>
      </c>
      <c r="B306" t="s">
        <v>263</v>
      </c>
      <c r="C306" t="s">
        <v>41</v>
      </c>
      <c r="D306" t="s">
        <v>40</v>
      </c>
      <c r="E306">
        <v>3</v>
      </c>
      <c r="F306">
        <v>5330</v>
      </c>
      <c r="G306">
        <v>15990</v>
      </c>
    </row>
    <row r="307" spans="1:7" x14ac:dyDescent="0.2">
      <c r="A307">
        <v>306</v>
      </c>
      <c r="C307" t="s">
        <v>36</v>
      </c>
      <c r="D307" t="s">
        <v>40</v>
      </c>
      <c r="E307">
        <v>36</v>
      </c>
      <c r="F307">
        <v>5750</v>
      </c>
      <c r="G307">
        <v>207000</v>
      </c>
    </row>
    <row r="308" spans="1:7" x14ac:dyDescent="0.2">
      <c r="A308">
        <v>307</v>
      </c>
      <c r="B308" t="s">
        <v>264</v>
      </c>
      <c r="C308" t="s">
        <v>50</v>
      </c>
      <c r="D308" t="s">
        <v>42</v>
      </c>
      <c r="E308">
        <v>24</v>
      </c>
      <c r="F308">
        <v>4680</v>
      </c>
      <c r="G308">
        <v>112320</v>
      </c>
    </row>
    <row r="309" spans="1:7" x14ac:dyDescent="0.2">
      <c r="A309">
        <v>308</v>
      </c>
      <c r="B309" t="s">
        <v>265</v>
      </c>
      <c r="C309" t="s">
        <v>34</v>
      </c>
      <c r="D309" t="s">
        <v>48</v>
      </c>
      <c r="E309">
        <v>15</v>
      </c>
      <c r="F309">
        <v>1680</v>
      </c>
      <c r="G309">
        <v>25200</v>
      </c>
    </row>
    <row r="310" spans="1:7" x14ac:dyDescent="0.2">
      <c r="A310">
        <v>309</v>
      </c>
      <c r="B310" t="s">
        <v>266</v>
      </c>
      <c r="C310" t="s">
        <v>45</v>
      </c>
      <c r="D310" t="s">
        <v>39</v>
      </c>
      <c r="E310">
        <v>39</v>
      </c>
      <c r="F310">
        <v>2630</v>
      </c>
      <c r="G310">
        <v>102570</v>
      </c>
    </row>
    <row r="311" spans="1:7" x14ac:dyDescent="0.2">
      <c r="A311">
        <v>310</v>
      </c>
      <c r="B311" t="s">
        <v>266</v>
      </c>
      <c r="C311" t="s">
        <v>36</v>
      </c>
      <c r="D311" t="s">
        <v>51</v>
      </c>
      <c r="E311">
        <v>8</v>
      </c>
      <c r="F311">
        <v>15290</v>
      </c>
      <c r="G311">
        <v>122320</v>
      </c>
    </row>
    <row r="312" spans="1:7" x14ac:dyDescent="0.2">
      <c r="A312">
        <v>311</v>
      </c>
      <c r="B312" t="s">
        <v>266</v>
      </c>
      <c r="C312" t="s">
        <v>34</v>
      </c>
      <c r="D312" t="s">
        <v>43</v>
      </c>
      <c r="E312">
        <v>38</v>
      </c>
      <c r="F312">
        <v>5330</v>
      </c>
      <c r="G312">
        <v>202540</v>
      </c>
    </row>
    <row r="313" spans="1:7" x14ac:dyDescent="0.2">
      <c r="A313">
        <v>312</v>
      </c>
      <c r="B313" t="s">
        <v>266</v>
      </c>
      <c r="C313" t="s">
        <v>36</v>
      </c>
      <c r="D313" t="s">
        <v>48</v>
      </c>
      <c r="E313">
        <v>4</v>
      </c>
      <c r="F313">
        <v>1870</v>
      </c>
      <c r="G313">
        <v>7480</v>
      </c>
    </row>
    <row r="314" spans="1:7" x14ac:dyDescent="0.2">
      <c r="A314">
        <v>313</v>
      </c>
      <c r="B314" t="s">
        <v>267</v>
      </c>
      <c r="C314" t="s">
        <v>32</v>
      </c>
      <c r="D314" t="s">
        <v>39</v>
      </c>
      <c r="E314">
        <v>28</v>
      </c>
      <c r="F314">
        <v>2690</v>
      </c>
      <c r="G314">
        <v>75320</v>
      </c>
    </row>
    <row r="315" spans="1:7" x14ac:dyDescent="0.2">
      <c r="A315">
        <v>314</v>
      </c>
      <c r="B315" t="s">
        <v>267</v>
      </c>
      <c r="C315" t="s">
        <v>50</v>
      </c>
      <c r="D315" t="s">
        <v>33</v>
      </c>
      <c r="E315">
        <v>34</v>
      </c>
      <c r="F315">
        <v>18690</v>
      </c>
      <c r="G315">
        <v>635460</v>
      </c>
    </row>
    <row r="316" spans="1:7" x14ac:dyDescent="0.2">
      <c r="A316">
        <v>315</v>
      </c>
      <c r="B316" t="s">
        <v>268</v>
      </c>
      <c r="C316" t="s">
        <v>50</v>
      </c>
      <c r="D316" t="s">
        <v>35</v>
      </c>
      <c r="E316">
        <v>29</v>
      </c>
      <c r="F316">
        <v>3440</v>
      </c>
      <c r="G316">
        <v>99760</v>
      </c>
    </row>
    <row r="317" spans="1:7" x14ac:dyDescent="0.2">
      <c r="A317">
        <v>316</v>
      </c>
      <c r="B317" t="s">
        <v>269</v>
      </c>
      <c r="C317" t="s">
        <v>45</v>
      </c>
      <c r="D317" t="s">
        <v>37</v>
      </c>
      <c r="E317">
        <v>21</v>
      </c>
      <c r="F317">
        <v>3450</v>
      </c>
      <c r="G317">
        <v>72450</v>
      </c>
    </row>
    <row r="318" spans="1:7" x14ac:dyDescent="0.2">
      <c r="A318">
        <v>317</v>
      </c>
      <c r="B318" t="s">
        <v>270</v>
      </c>
      <c r="C318" t="s">
        <v>47</v>
      </c>
      <c r="D318" t="s">
        <v>51</v>
      </c>
      <c r="E318">
        <v>18</v>
      </c>
      <c r="F318">
        <v>15490</v>
      </c>
      <c r="G318">
        <v>278820</v>
      </c>
    </row>
    <row r="319" spans="1:7" x14ac:dyDescent="0.2">
      <c r="A319">
        <v>318</v>
      </c>
      <c r="B319" t="s">
        <v>270</v>
      </c>
      <c r="C319" t="s">
        <v>32</v>
      </c>
      <c r="D319" t="s">
        <v>37</v>
      </c>
      <c r="E319">
        <v>1</v>
      </c>
      <c r="F319">
        <v>3880</v>
      </c>
      <c r="G319">
        <v>3880</v>
      </c>
    </row>
    <row r="320" spans="1:7" x14ac:dyDescent="0.2">
      <c r="A320">
        <v>319</v>
      </c>
      <c r="B320" t="s">
        <v>270</v>
      </c>
      <c r="C320" t="s">
        <v>49</v>
      </c>
      <c r="D320" t="s">
        <v>40</v>
      </c>
      <c r="E320">
        <v>29</v>
      </c>
      <c r="F320">
        <v>5700</v>
      </c>
      <c r="G320">
        <v>165300</v>
      </c>
    </row>
    <row r="321" spans="1:7" x14ac:dyDescent="0.2">
      <c r="A321">
        <v>320</v>
      </c>
      <c r="B321" t="s">
        <v>271</v>
      </c>
      <c r="C321" t="s">
        <v>47</v>
      </c>
      <c r="D321" t="s">
        <v>39</v>
      </c>
      <c r="E321">
        <v>24</v>
      </c>
      <c r="F321">
        <v>2670</v>
      </c>
      <c r="G321">
        <v>64080</v>
      </c>
    </row>
    <row r="322" spans="1:7" x14ac:dyDescent="0.2">
      <c r="A322">
        <v>321</v>
      </c>
      <c r="B322" t="s">
        <v>272</v>
      </c>
      <c r="C322" t="s">
        <v>46</v>
      </c>
      <c r="D322" t="s">
        <v>40</v>
      </c>
      <c r="E322">
        <v>38</v>
      </c>
      <c r="F322">
        <v>5610</v>
      </c>
      <c r="G322">
        <v>213180</v>
      </c>
    </row>
    <row r="323" spans="1:7" x14ac:dyDescent="0.2">
      <c r="A323">
        <v>322</v>
      </c>
      <c r="B323" t="s">
        <v>272</v>
      </c>
      <c r="C323" t="s">
        <v>49</v>
      </c>
      <c r="D323" t="s">
        <v>43</v>
      </c>
      <c r="E323">
        <v>13</v>
      </c>
      <c r="F323">
        <v>4950</v>
      </c>
      <c r="G323">
        <v>64350</v>
      </c>
    </row>
    <row r="324" spans="1:7" x14ac:dyDescent="0.2">
      <c r="A324">
        <v>323</v>
      </c>
      <c r="B324" t="s">
        <v>273</v>
      </c>
      <c r="C324" t="s">
        <v>45</v>
      </c>
      <c r="D324" t="s">
        <v>39</v>
      </c>
      <c r="E324">
        <v>1</v>
      </c>
      <c r="F324">
        <v>2490</v>
      </c>
      <c r="G324">
        <v>2490</v>
      </c>
    </row>
    <row r="325" spans="1:7" x14ac:dyDescent="0.2">
      <c r="A325">
        <v>324</v>
      </c>
      <c r="B325" t="s">
        <v>274</v>
      </c>
      <c r="C325" t="s">
        <v>47</v>
      </c>
      <c r="D325" t="s">
        <v>40</v>
      </c>
      <c r="E325">
        <v>36</v>
      </c>
      <c r="F325">
        <v>5840</v>
      </c>
      <c r="G325">
        <v>210240</v>
      </c>
    </row>
    <row r="326" spans="1:7" x14ac:dyDescent="0.2">
      <c r="A326">
        <v>325</v>
      </c>
      <c r="B326" t="s">
        <v>275</v>
      </c>
      <c r="C326" t="s">
        <v>32</v>
      </c>
      <c r="D326" t="s">
        <v>51</v>
      </c>
      <c r="E326">
        <v>25</v>
      </c>
      <c r="F326">
        <v>14210</v>
      </c>
      <c r="G326">
        <v>355250</v>
      </c>
    </row>
    <row r="327" spans="1:7" x14ac:dyDescent="0.2">
      <c r="A327">
        <v>326</v>
      </c>
      <c r="B327" t="s">
        <v>275</v>
      </c>
      <c r="C327" t="s">
        <v>38</v>
      </c>
      <c r="D327" t="s">
        <v>44</v>
      </c>
      <c r="E327">
        <v>14</v>
      </c>
      <c r="F327">
        <v>3830</v>
      </c>
      <c r="G327">
        <v>53620</v>
      </c>
    </row>
    <row r="328" spans="1:7" x14ac:dyDescent="0.2">
      <c r="A328">
        <v>327</v>
      </c>
      <c r="B328" t="s">
        <v>276</v>
      </c>
      <c r="C328" t="s">
        <v>38</v>
      </c>
      <c r="D328" t="s">
        <v>51</v>
      </c>
      <c r="E328">
        <v>36</v>
      </c>
      <c r="F328">
        <v>14420</v>
      </c>
      <c r="G328">
        <v>519120</v>
      </c>
    </row>
    <row r="329" spans="1:7" x14ac:dyDescent="0.2">
      <c r="A329">
        <v>328</v>
      </c>
      <c r="B329" t="s">
        <v>276</v>
      </c>
      <c r="C329" t="s">
        <v>47</v>
      </c>
      <c r="D329" t="s">
        <v>40</v>
      </c>
      <c r="E329">
        <v>29</v>
      </c>
      <c r="F329">
        <v>5660</v>
      </c>
      <c r="G329">
        <v>164140</v>
      </c>
    </row>
    <row r="330" spans="1:7" x14ac:dyDescent="0.2">
      <c r="A330">
        <v>329</v>
      </c>
      <c r="B330" t="s">
        <v>277</v>
      </c>
      <c r="C330" t="s">
        <v>41</v>
      </c>
      <c r="D330" t="s">
        <v>40</v>
      </c>
      <c r="E330">
        <v>31</v>
      </c>
      <c r="F330">
        <v>5920</v>
      </c>
      <c r="G330">
        <v>183520</v>
      </c>
    </row>
    <row r="331" spans="1:7" x14ac:dyDescent="0.2">
      <c r="A331">
        <v>330</v>
      </c>
      <c r="B331" t="s">
        <v>278</v>
      </c>
      <c r="C331" t="s">
        <v>34</v>
      </c>
      <c r="D331" t="s">
        <v>33</v>
      </c>
      <c r="E331">
        <v>6</v>
      </c>
      <c r="F331">
        <v>20320</v>
      </c>
      <c r="G331">
        <v>121920</v>
      </c>
    </row>
    <row r="332" spans="1:7" x14ac:dyDescent="0.2">
      <c r="A332">
        <v>331</v>
      </c>
      <c r="B332" t="s">
        <v>278</v>
      </c>
      <c r="C332" t="s">
        <v>50</v>
      </c>
      <c r="D332" t="s">
        <v>43</v>
      </c>
      <c r="E332">
        <v>30</v>
      </c>
      <c r="F332">
        <v>4860</v>
      </c>
      <c r="G332">
        <v>145800</v>
      </c>
    </row>
    <row r="333" spans="1:7" x14ac:dyDescent="0.2">
      <c r="A333">
        <v>332</v>
      </c>
      <c r="B333" t="s">
        <v>278</v>
      </c>
      <c r="C333" t="s">
        <v>45</v>
      </c>
      <c r="D333" t="s">
        <v>42</v>
      </c>
      <c r="E333">
        <v>13</v>
      </c>
      <c r="F333">
        <v>4560</v>
      </c>
      <c r="G333">
        <v>59280</v>
      </c>
    </row>
    <row r="334" spans="1:7" x14ac:dyDescent="0.2">
      <c r="A334">
        <v>333</v>
      </c>
      <c r="B334" t="s">
        <v>279</v>
      </c>
      <c r="C334" t="s">
        <v>41</v>
      </c>
      <c r="D334" t="s">
        <v>42</v>
      </c>
      <c r="E334">
        <v>31</v>
      </c>
      <c r="F334">
        <v>4680</v>
      </c>
      <c r="G334">
        <v>145080</v>
      </c>
    </row>
    <row r="335" spans="1:7" x14ac:dyDescent="0.2">
      <c r="A335">
        <v>334</v>
      </c>
      <c r="B335" t="s">
        <v>279</v>
      </c>
      <c r="C335" t="s">
        <v>50</v>
      </c>
      <c r="D335" t="s">
        <v>48</v>
      </c>
      <c r="E335">
        <v>3</v>
      </c>
      <c r="F335">
        <v>1820</v>
      </c>
      <c r="G335">
        <v>5460</v>
      </c>
    </row>
    <row r="336" spans="1:7" x14ac:dyDescent="0.2">
      <c r="A336">
        <v>335</v>
      </c>
      <c r="B336" t="s">
        <v>279</v>
      </c>
      <c r="C336" t="s">
        <v>46</v>
      </c>
      <c r="D336" t="s">
        <v>48</v>
      </c>
      <c r="E336">
        <v>25</v>
      </c>
      <c r="F336">
        <v>1900</v>
      </c>
      <c r="G336">
        <v>47500</v>
      </c>
    </row>
    <row r="337" spans="1:7" x14ac:dyDescent="0.2">
      <c r="A337">
        <v>336</v>
      </c>
      <c r="B337" t="s">
        <v>280</v>
      </c>
      <c r="C337" t="s">
        <v>34</v>
      </c>
      <c r="D337" t="s">
        <v>44</v>
      </c>
      <c r="E337">
        <v>39</v>
      </c>
      <c r="F337">
        <v>3650</v>
      </c>
      <c r="G337">
        <v>142350</v>
      </c>
    </row>
    <row r="338" spans="1:7" x14ac:dyDescent="0.2">
      <c r="A338">
        <v>337</v>
      </c>
      <c r="B338" t="s">
        <v>281</v>
      </c>
      <c r="C338" t="s">
        <v>49</v>
      </c>
      <c r="D338" t="s">
        <v>48</v>
      </c>
      <c r="E338">
        <v>22</v>
      </c>
      <c r="F338">
        <v>1860</v>
      </c>
      <c r="G338">
        <v>40920</v>
      </c>
    </row>
    <row r="339" spans="1:7" x14ac:dyDescent="0.2">
      <c r="A339">
        <v>338</v>
      </c>
      <c r="B339" t="s">
        <v>282</v>
      </c>
      <c r="C339" t="s">
        <v>46</v>
      </c>
      <c r="D339" t="s">
        <v>35</v>
      </c>
      <c r="E339">
        <v>40</v>
      </c>
      <c r="F339">
        <v>3030</v>
      </c>
      <c r="G339">
        <v>121200</v>
      </c>
    </row>
    <row r="340" spans="1:7" x14ac:dyDescent="0.2">
      <c r="A340">
        <v>339</v>
      </c>
      <c r="B340" t="s">
        <v>282</v>
      </c>
      <c r="C340" t="s">
        <v>41</v>
      </c>
      <c r="D340" t="s">
        <v>48</v>
      </c>
      <c r="E340">
        <v>26</v>
      </c>
      <c r="F340">
        <v>1700</v>
      </c>
      <c r="G340">
        <v>44200</v>
      </c>
    </row>
    <row r="341" spans="1:7" x14ac:dyDescent="0.2">
      <c r="A341">
        <v>340</v>
      </c>
      <c r="B341" t="s">
        <v>283</v>
      </c>
      <c r="C341" t="s">
        <v>49</v>
      </c>
      <c r="D341" t="s">
        <v>44</v>
      </c>
      <c r="E341">
        <v>32</v>
      </c>
      <c r="F341">
        <v>3850</v>
      </c>
      <c r="G341">
        <v>123200</v>
      </c>
    </row>
    <row r="342" spans="1:7" x14ac:dyDescent="0.2">
      <c r="A342">
        <v>341</v>
      </c>
      <c r="B342" t="s">
        <v>283</v>
      </c>
      <c r="C342" t="s">
        <v>50</v>
      </c>
      <c r="D342" t="s">
        <v>35</v>
      </c>
      <c r="E342">
        <v>36</v>
      </c>
      <c r="F342">
        <v>3430</v>
      </c>
      <c r="G342">
        <v>123480</v>
      </c>
    </row>
    <row r="343" spans="1:7" x14ac:dyDescent="0.2">
      <c r="A343">
        <v>342</v>
      </c>
      <c r="B343" t="s">
        <v>283</v>
      </c>
      <c r="C343" t="s">
        <v>46</v>
      </c>
      <c r="D343" t="s">
        <v>33</v>
      </c>
      <c r="E343">
        <v>2</v>
      </c>
      <c r="F343">
        <v>18390</v>
      </c>
      <c r="G343">
        <v>36780</v>
      </c>
    </row>
    <row r="344" spans="1:7" x14ac:dyDescent="0.2">
      <c r="A344">
        <v>343</v>
      </c>
      <c r="B344" t="s">
        <v>284</v>
      </c>
      <c r="C344" t="s">
        <v>45</v>
      </c>
      <c r="D344" t="s">
        <v>43</v>
      </c>
      <c r="E344">
        <v>34</v>
      </c>
      <c r="F344">
        <v>4850</v>
      </c>
      <c r="G344">
        <v>164900</v>
      </c>
    </row>
    <row r="345" spans="1:7" x14ac:dyDescent="0.2">
      <c r="A345">
        <v>344</v>
      </c>
      <c r="B345" t="s">
        <v>284</v>
      </c>
      <c r="C345" t="s">
        <v>41</v>
      </c>
      <c r="D345" t="s">
        <v>39</v>
      </c>
      <c r="E345">
        <v>16</v>
      </c>
      <c r="F345">
        <v>2620</v>
      </c>
      <c r="G345">
        <v>41920</v>
      </c>
    </row>
    <row r="346" spans="1:7" x14ac:dyDescent="0.2">
      <c r="A346">
        <v>345</v>
      </c>
      <c r="B346" t="s">
        <v>285</v>
      </c>
      <c r="C346" t="s">
        <v>46</v>
      </c>
      <c r="D346" t="s">
        <v>35</v>
      </c>
      <c r="E346">
        <v>1</v>
      </c>
      <c r="F346">
        <v>3440</v>
      </c>
      <c r="G346">
        <v>3440</v>
      </c>
    </row>
    <row r="347" spans="1:7" x14ac:dyDescent="0.2">
      <c r="A347">
        <v>346</v>
      </c>
      <c r="B347" t="s">
        <v>285</v>
      </c>
      <c r="C347" t="s">
        <v>34</v>
      </c>
      <c r="D347" t="s">
        <v>40</v>
      </c>
      <c r="E347">
        <v>9</v>
      </c>
      <c r="F347">
        <v>5380</v>
      </c>
      <c r="G347">
        <v>48420</v>
      </c>
    </row>
    <row r="348" spans="1:7" x14ac:dyDescent="0.2">
      <c r="A348">
        <v>347</v>
      </c>
      <c r="B348" t="s">
        <v>285</v>
      </c>
      <c r="C348" t="s">
        <v>45</v>
      </c>
      <c r="D348" t="s">
        <v>42</v>
      </c>
      <c r="E348">
        <v>34</v>
      </c>
      <c r="F348">
        <v>4630</v>
      </c>
      <c r="G348">
        <v>157420</v>
      </c>
    </row>
    <row r="349" spans="1:7" x14ac:dyDescent="0.2">
      <c r="A349">
        <v>348</v>
      </c>
      <c r="B349" t="s">
        <v>286</v>
      </c>
      <c r="C349" t="s">
        <v>47</v>
      </c>
      <c r="D349" t="s">
        <v>35</v>
      </c>
      <c r="E349">
        <v>10</v>
      </c>
      <c r="F349">
        <v>3320</v>
      </c>
      <c r="G349">
        <v>33200</v>
      </c>
    </row>
    <row r="350" spans="1:7" x14ac:dyDescent="0.2">
      <c r="A350">
        <v>349</v>
      </c>
      <c r="B350" t="s">
        <v>287</v>
      </c>
      <c r="C350" t="s">
        <v>50</v>
      </c>
      <c r="D350" t="s">
        <v>40</v>
      </c>
      <c r="E350">
        <v>35</v>
      </c>
      <c r="F350">
        <v>5520</v>
      </c>
      <c r="G350">
        <v>193200</v>
      </c>
    </row>
    <row r="351" spans="1:7" x14ac:dyDescent="0.2">
      <c r="A351">
        <v>350</v>
      </c>
      <c r="B351" t="s">
        <v>288</v>
      </c>
      <c r="C351" t="s">
        <v>32</v>
      </c>
      <c r="D351" t="s">
        <v>35</v>
      </c>
      <c r="E351">
        <v>9</v>
      </c>
      <c r="F351">
        <v>3300</v>
      </c>
      <c r="G351">
        <v>29700</v>
      </c>
    </row>
    <row r="352" spans="1:7" x14ac:dyDescent="0.2">
      <c r="A352">
        <v>351</v>
      </c>
      <c r="B352" t="s">
        <v>288</v>
      </c>
      <c r="C352" t="s">
        <v>45</v>
      </c>
      <c r="D352" t="s">
        <v>51</v>
      </c>
      <c r="E352">
        <v>6</v>
      </c>
      <c r="F352">
        <v>13610</v>
      </c>
      <c r="G352">
        <v>81660</v>
      </c>
    </row>
    <row r="353" spans="1:7" x14ac:dyDescent="0.2">
      <c r="A353">
        <v>352</v>
      </c>
      <c r="B353" t="s">
        <v>288</v>
      </c>
      <c r="C353" t="s">
        <v>32</v>
      </c>
      <c r="D353" t="s">
        <v>51</v>
      </c>
      <c r="E353">
        <v>14</v>
      </c>
      <c r="F353">
        <v>15380</v>
      </c>
      <c r="G353">
        <v>215320</v>
      </c>
    </row>
    <row r="354" spans="1:7" x14ac:dyDescent="0.2">
      <c r="A354">
        <v>353</v>
      </c>
      <c r="B354" t="s">
        <v>289</v>
      </c>
      <c r="C354" t="s">
        <v>50</v>
      </c>
      <c r="D354" t="s">
        <v>42</v>
      </c>
      <c r="E354">
        <v>12</v>
      </c>
      <c r="F354">
        <v>4170</v>
      </c>
      <c r="G354">
        <v>50040</v>
      </c>
    </row>
    <row r="355" spans="1:7" x14ac:dyDescent="0.2">
      <c r="A355">
        <v>354</v>
      </c>
      <c r="B355" t="s">
        <v>290</v>
      </c>
      <c r="C355" t="s">
        <v>49</v>
      </c>
      <c r="D355" t="s">
        <v>48</v>
      </c>
      <c r="E355">
        <v>23</v>
      </c>
      <c r="F355">
        <v>1800</v>
      </c>
      <c r="G355">
        <v>41400</v>
      </c>
    </row>
    <row r="356" spans="1:7" x14ac:dyDescent="0.2">
      <c r="A356">
        <v>355</v>
      </c>
      <c r="B356" t="s">
        <v>291</v>
      </c>
      <c r="C356" t="s">
        <v>50</v>
      </c>
      <c r="D356" t="s">
        <v>48</v>
      </c>
      <c r="E356">
        <v>23</v>
      </c>
      <c r="F356">
        <v>1910</v>
      </c>
      <c r="G356">
        <v>43930</v>
      </c>
    </row>
    <row r="357" spans="1:7" x14ac:dyDescent="0.2">
      <c r="A357">
        <v>356</v>
      </c>
      <c r="B357" t="s">
        <v>291</v>
      </c>
      <c r="C357" t="s">
        <v>36</v>
      </c>
      <c r="D357" t="s">
        <v>44</v>
      </c>
      <c r="E357">
        <v>7</v>
      </c>
      <c r="F357">
        <v>4080</v>
      </c>
      <c r="G357">
        <v>28560</v>
      </c>
    </row>
    <row r="358" spans="1:7" x14ac:dyDescent="0.2">
      <c r="A358">
        <v>357</v>
      </c>
      <c r="B358" t="s">
        <v>291</v>
      </c>
      <c r="C358" t="s">
        <v>50</v>
      </c>
      <c r="D358" t="s">
        <v>48</v>
      </c>
      <c r="E358">
        <v>33</v>
      </c>
      <c r="F358">
        <v>1750</v>
      </c>
      <c r="G358">
        <v>57750</v>
      </c>
    </row>
    <row r="359" spans="1:7" x14ac:dyDescent="0.2">
      <c r="A359">
        <v>358</v>
      </c>
      <c r="B359" t="s">
        <v>291</v>
      </c>
      <c r="C359" t="s">
        <v>50</v>
      </c>
      <c r="D359" t="s">
        <v>44</v>
      </c>
      <c r="E359">
        <v>39</v>
      </c>
      <c r="F359">
        <v>4170</v>
      </c>
      <c r="G359">
        <v>162630</v>
      </c>
    </row>
    <row r="360" spans="1:7" x14ac:dyDescent="0.2">
      <c r="A360">
        <v>359</v>
      </c>
      <c r="B360" t="s">
        <v>292</v>
      </c>
      <c r="C360" t="s">
        <v>50</v>
      </c>
      <c r="D360" t="s">
        <v>37</v>
      </c>
      <c r="E360">
        <v>40</v>
      </c>
      <c r="F360">
        <v>3350</v>
      </c>
      <c r="G360">
        <v>134000</v>
      </c>
    </row>
    <row r="361" spans="1:7" x14ac:dyDescent="0.2">
      <c r="A361">
        <v>360</v>
      </c>
      <c r="B361" t="s">
        <v>292</v>
      </c>
      <c r="C361" t="s">
        <v>38</v>
      </c>
      <c r="D361" t="s">
        <v>42</v>
      </c>
      <c r="E361">
        <v>1</v>
      </c>
      <c r="F361">
        <v>4530</v>
      </c>
      <c r="G361">
        <v>4530</v>
      </c>
    </row>
    <row r="362" spans="1:7" x14ac:dyDescent="0.2">
      <c r="A362">
        <v>361</v>
      </c>
      <c r="B362" t="s">
        <v>292</v>
      </c>
      <c r="C362" t="s">
        <v>32</v>
      </c>
      <c r="D362" t="s">
        <v>33</v>
      </c>
      <c r="E362">
        <v>11</v>
      </c>
      <c r="F362">
        <v>19710</v>
      </c>
      <c r="G362">
        <v>216810</v>
      </c>
    </row>
    <row r="363" spans="1:7" x14ac:dyDescent="0.2">
      <c r="A363">
        <v>362</v>
      </c>
      <c r="B363" t="s">
        <v>292</v>
      </c>
      <c r="C363" t="s">
        <v>47</v>
      </c>
      <c r="D363" t="s">
        <v>43</v>
      </c>
      <c r="E363">
        <v>36</v>
      </c>
      <c r="F363">
        <v>5540</v>
      </c>
      <c r="G363">
        <v>199440</v>
      </c>
    </row>
    <row r="364" spans="1:7" x14ac:dyDescent="0.2">
      <c r="A364">
        <v>363</v>
      </c>
      <c r="B364" t="s">
        <v>292</v>
      </c>
      <c r="C364" t="s">
        <v>41</v>
      </c>
      <c r="D364" t="s">
        <v>40</v>
      </c>
      <c r="E364">
        <v>39</v>
      </c>
      <c r="F364">
        <v>5790</v>
      </c>
      <c r="G364">
        <v>225810</v>
      </c>
    </row>
    <row r="365" spans="1:7" x14ac:dyDescent="0.2">
      <c r="A365">
        <v>364</v>
      </c>
      <c r="B365" t="s">
        <v>292</v>
      </c>
      <c r="C365" t="s">
        <v>41</v>
      </c>
      <c r="D365" t="s">
        <v>43</v>
      </c>
      <c r="E365">
        <v>3</v>
      </c>
      <c r="F365">
        <v>4930</v>
      </c>
      <c r="G365">
        <v>14790</v>
      </c>
    </row>
    <row r="366" spans="1:7" x14ac:dyDescent="0.2">
      <c r="A366">
        <v>365</v>
      </c>
      <c r="B366" t="s">
        <v>293</v>
      </c>
      <c r="C366" t="s">
        <v>46</v>
      </c>
      <c r="D366" t="s">
        <v>39</v>
      </c>
      <c r="E366">
        <v>12</v>
      </c>
      <c r="F366">
        <v>2770</v>
      </c>
      <c r="G366">
        <v>33240</v>
      </c>
    </row>
    <row r="367" spans="1:7" x14ac:dyDescent="0.2">
      <c r="A367">
        <v>366</v>
      </c>
      <c r="B367" t="s">
        <v>293</v>
      </c>
      <c r="C367" t="s">
        <v>34</v>
      </c>
      <c r="D367" t="s">
        <v>33</v>
      </c>
      <c r="E367">
        <v>24</v>
      </c>
      <c r="F367">
        <v>20220</v>
      </c>
      <c r="G367">
        <v>485280</v>
      </c>
    </row>
    <row r="368" spans="1:7" x14ac:dyDescent="0.2">
      <c r="A368">
        <v>367</v>
      </c>
      <c r="B368" t="s">
        <v>293</v>
      </c>
      <c r="C368" t="s">
        <v>49</v>
      </c>
      <c r="D368" t="s">
        <v>51</v>
      </c>
      <c r="E368">
        <v>10</v>
      </c>
      <c r="F368">
        <v>13370</v>
      </c>
      <c r="G368">
        <v>133700</v>
      </c>
    </row>
    <row r="369" spans="1:7" x14ac:dyDescent="0.2">
      <c r="A369">
        <v>368</v>
      </c>
      <c r="B369" t="s">
        <v>294</v>
      </c>
      <c r="C369" t="s">
        <v>46</v>
      </c>
      <c r="D369" t="s">
        <v>48</v>
      </c>
      <c r="E369">
        <v>17</v>
      </c>
      <c r="F369">
        <v>1680</v>
      </c>
      <c r="G369">
        <v>28560</v>
      </c>
    </row>
    <row r="370" spans="1:7" x14ac:dyDescent="0.2">
      <c r="A370">
        <v>369</v>
      </c>
      <c r="B370" t="s">
        <v>294</v>
      </c>
      <c r="C370" t="s">
        <v>36</v>
      </c>
      <c r="D370" t="s">
        <v>42</v>
      </c>
      <c r="E370">
        <v>34</v>
      </c>
      <c r="F370">
        <v>4100</v>
      </c>
      <c r="G370">
        <v>139400</v>
      </c>
    </row>
    <row r="371" spans="1:7" x14ac:dyDescent="0.2">
      <c r="A371">
        <v>370</v>
      </c>
      <c r="B371" t="s">
        <v>295</v>
      </c>
      <c r="C371" t="s">
        <v>50</v>
      </c>
      <c r="D371" t="s">
        <v>40</v>
      </c>
      <c r="E371">
        <v>6</v>
      </c>
      <c r="F371">
        <v>5250</v>
      </c>
      <c r="G371">
        <v>31500</v>
      </c>
    </row>
    <row r="372" spans="1:7" x14ac:dyDescent="0.2">
      <c r="A372">
        <v>371</v>
      </c>
      <c r="B372" t="s">
        <v>295</v>
      </c>
      <c r="C372" t="s">
        <v>49</v>
      </c>
      <c r="D372" t="s">
        <v>48</v>
      </c>
      <c r="E372">
        <v>24</v>
      </c>
      <c r="F372">
        <v>1710</v>
      </c>
      <c r="G372">
        <v>41040</v>
      </c>
    </row>
    <row r="373" spans="1:7" x14ac:dyDescent="0.2">
      <c r="A373">
        <v>372</v>
      </c>
      <c r="B373" t="s">
        <v>296</v>
      </c>
      <c r="C373" t="s">
        <v>49</v>
      </c>
      <c r="D373" t="s">
        <v>40</v>
      </c>
      <c r="E373">
        <v>8</v>
      </c>
      <c r="F373">
        <v>5160</v>
      </c>
      <c r="G373">
        <v>41280</v>
      </c>
    </row>
    <row r="374" spans="1:7" x14ac:dyDescent="0.2">
      <c r="A374">
        <v>373</v>
      </c>
      <c r="B374" t="s">
        <v>296</v>
      </c>
      <c r="C374" t="s">
        <v>49</v>
      </c>
      <c r="D374" t="s">
        <v>39</v>
      </c>
      <c r="E374">
        <v>3</v>
      </c>
      <c r="F374">
        <v>2880</v>
      </c>
      <c r="G374">
        <v>8640</v>
      </c>
    </row>
    <row r="375" spans="1:7" x14ac:dyDescent="0.2">
      <c r="A375">
        <v>374</v>
      </c>
      <c r="B375" t="s">
        <v>296</v>
      </c>
      <c r="C375" t="s">
        <v>38</v>
      </c>
      <c r="D375" t="s">
        <v>42</v>
      </c>
      <c r="E375">
        <v>34</v>
      </c>
      <c r="F375">
        <v>4590</v>
      </c>
      <c r="G375">
        <v>156060</v>
      </c>
    </row>
    <row r="376" spans="1:7" x14ac:dyDescent="0.2">
      <c r="A376">
        <v>375</v>
      </c>
      <c r="B376" t="s">
        <v>297</v>
      </c>
      <c r="C376" t="s">
        <v>34</v>
      </c>
      <c r="D376" t="s">
        <v>35</v>
      </c>
      <c r="E376">
        <v>39</v>
      </c>
      <c r="F376">
        <v>2990</v>
      </c>
      <c r="G376">
        <v>116610</v>
      </c>
    </row>
    <row r="377" spans="1:7" x14ac:dyDescent="0.2">
      <c r="A377">
        <v>376</v>
      </c>
      <c r="B377" t="s">
        <v>298</v>
      </c>
      <c r="C377" t="s">
        <v>50</v>
      </c>
      <c r="D377" t="s">
        <v>39</v>
      </c>
      <c r="E377">
        <v>22</v>
      </c>
      <c r="F377">
        <v>2640</v>
      </c>
      <c r="G377">
        <v>58080</v>
      </c>
    </row>
    <row r="378" spans="1:7" x14ac:dyDescent="0.2">
      <c r="A378">
        <v>377</v>
      </c>
      <c r="B378" t="s">
        <v>298</v>
      </c>
      <c r="C378" t="s">
        <v>47</v>
      </c>
      <c r="D378" t="s">
        <v>33</v>
      </c>
      <c r="E378">
        <v>35</v>
      </c>
      <c r="F378">
        <v>18970</v>
      </c>
      <c r="G378">
        <v>663950</v>
      </c>
    </row>
    <row r="379" spans="1:7" x14ac:dyDescent="0.2">
      <c r="A379">
        <v>378</v>
      </c>
      <c r="B379" t="s">
        <v>299</v>
      </c>
      <c r="C379" t="s">
        <v>50</v>
      </c>
      <c r="D379" t="s">
        <v>35</v>
      </c>
      <c r="E379">
        <v>31</v>
      </c>
      <c r="F379">
        <v>3180</v>
      </c>
      <c r="G379">
        <v>98580</v>
      </c>
    </row>
    <row r="380" spans="1:7" x14ac:dyDescent="0.2">
      <c r="A380">
        <v>379</v>
      </c>
      <c r="B380" t="s">
        <v>299</v>
      </c>
      <c r="C380" t="s">
        <v>50</v>
      </c>
      <c r="D380" t="s">
        <v>51</v>
      </c>
      <c r="E380">
        <v>28</v>
      </c>
      <c r="F380">
        <v>14430</v>
      </c>
      <c r="G380">
        <v>404040</v>
      </c>
    </row>
    <row r="381" spans="1:7" x14ac:dyDescent="0.2">
      <c r="A381">
        <v>380</v>
      </c>
      <c r="B381" t="s">
        <v>299</v>
      </c>
      <c r="C381" t="s">
        <v>36</v>
      </c>
      <c r="D381" t="s">
        <v>48</v>
      </c>
      <c r="E381">
        <v>39</v>
      </c>
      <c r="F381">
        <v>1730</v>
      </c>
      <c r="G381">
        <v>67470</v>
      </c>
    </row>
    <row r="382" spans="1:7" x14ac:dyDescent="0.2">
      <c r="A382">
        <v>381</v>
      </c>
      <c r="B382" t="s">
        <v>300</v>
      </c>
      <c r="C382" t="s">
        <v>49</v>
      </c>
      <c r="D382" t="s">
        <v>33</v>
      </c>
      <c r="E382">
        <v>8</v>
      </c>
      <c r="F382">
        <v>18110</v>
      </c>
      <c r="G382">
        <v>144880</v>
      </c>
    </row>
    <row r="383" spans="1:7" x14ac:dyDescent="0.2">
      <c r="A383">
        <v>382</v>
      </c>
      <c r="B383" t="s">
        <v>300</v>
      </c>
      <c r="C383" t="s">
        <v>46</v>
      </c>
      <c r="D383" t="s">
        <v>33</v>
      </c>
      <c r="E383">
        <v>17</v>
      </c>
      <c r="F383">
        <v>18140</v>
      </c>
      <c r="G383">
        <v>308380</v>
      </c>
    </row>
    <row r="384" spans="1:7" x14ac:dyDescent="0.2">
      <c r="A384">
        <v>383</v>
      </c>
      <c r="B384" t="s">
        <v>300</v>
      </c>
      <c r="C384" t="s">
        <v>36</v>
      </c>
      <c r="D384" t="s">
        <v>44</v>
      </c>
      <c r="E384">
        <v>3</v>
      </c>
      <c r="F384">
        <v>3720</v>
      </c>
      <c r="G384">
        <v>11160</v>
      </c>
    </row>
    <row r="385" spans="1:7" x14ac:dyDescent="0.2">
      <c r="A385">
        <v>384</v>
      </c>
      <c r="B385" t="s">
        <v>301</v>
      </c>
      <c r="C385" t="s">
        <v>45</v>
      </c>
      <c r="D385" t="s">
        <v>51</v>
      </c>
      <c r="E385">
        <v>38</v>
      </c>
      <c r="F385">
        <v>15530</v>
      </c>
    </row>
    <row r="386" spans="1:7" x14ac:dyDescent="0.2">
      <c r="A386">
        <v>385</v>
      </c>
      <c r="B386" t="s">
        <v>301</v>
      </c>
      <c r="C386" t="s">
        <v>34</v>
      </c>
      <c r="D386" t="s">
        <v>43</v>
      </c>
      <c r="E386">
        <v>20</v>
      </c>
      <c r="F386">
        <v>5350</v>
      </c>
      <c r="G386">
        <v>107000</v>
      </c>
    </row>
    <row r="387" spans="1:7" x14ac:dyDescent="0.2">
      <c r="A387">
        <v>386</v>
      </c>
      <c r="B387" t="s">
        <v>301</v>
      </c>
      <c r="C387" t="s">
        <v>36</v>
      </c>
      <c r="D387" t="s">
        <v>42</v>
      </c>
      <c r="E387">
        <v>5</v>
      </c>
      <c r="F387">
        <v>4230</v>
      </c>
      <c r="G387">
        <v>21150</v>
      </c>
    </row>
    <row r="388" spans="1:7" x14ac:dyDescent="0.2">
      <c r="A388">
        <v>387</v>
      </c>
      <c r="B388" t="s">
        <v>302</v>
      </c>
      <c r="C388" t="s">
        <v>34</v>
      </c>
      <c r="D388" t="s">
        <v>35</v>
      </c>
      <c r="E388">
        <v>40</v>
      </c>
      <c r="F388">
        <v>3130</v>
      </c>
    </row>
    <row r="389" spans="1:7" x14ac:dyDescent="0.2">
      <c r="A389">
        <v>388</v>
      </c>
      <c r="B389" t="s">
        <v>302</v>
      </c>
      <c r="C389" t="s">
        <v>41</v>
      </c>
      <c r="D389" t="s">
        <v>51</v>
      </c>
      <c r="E389">
        <v>7</v>
      </c>
      <c r="F389">
        <v>13630</v>
      </c>
      <c r="G389">
        <v>95410</v>
      </c>
    </row>
    <row r="390" spans="1:7" x14ac:dyDescent="0.2">
      <c r="A390">
        <v>389</v>
      </c>
      <c r="B390" t="s">
        <v>302</v>
      </c>
      <c r="C390" t="s">
        <v>45</v>
      </c>
      <c r="D390" t="s">
        <v>42</v>
      </c>
      <c r="E390">
        <v>31</v>
      </c>
      <c r="F390">
        <v>4640</v>
      </c>
      <c r="G390">
        <v>143840</v>
      </c>
    </row>
    <row r="391" spans="1:7" x14ac:dyDescent="0.2">
      <c r="A391">
        <v>390</v>
      </c>
      <c r="B391" t="s">
        <v>302</v>
      </c>
      <c r="C391" t="s">
        <v>41</v>
      </c>
      <c r="D391" t="s">
        <v>35</v>
      </c>
      <c r="E391">
        <v>29</v>
      </c>
      <c r="F391">
        <v>3420</v>
      </c>
      <c r="G391">
        <v>99180</v>
      </c>
    </row>
    <row r="392" spans="1:7" x14ac:dyDescent="0.2">
      <c r="A392">
        <v>391</v>
      </c>
      <c r="B392" t="s">
        <v>303</v>
      </c>
      <c r="C392" t="s">
        <v>49</v>
      </c>
      <c r="D392" t="s">
        <v>48</v>
      </c>
      <c r="E392">
        <v>14</v>
      </c>
      <c r="F392">
        <v>1810</v>
      </c>
      <c r="G392">
        <v>25340</v>
      </c>
    </row>
    <row r="393" spans="1:7" x14ac:dyDescent="0.2">
      <c r="A393">
        <v>392</v>
      </c>
      <c r="B393" t="s">
        <v>304</v>
      </c>
      <c r="C393" t="s">
        <v>45</v>
      </c>
      <c r="D393" t="s">
        <v>40</v>
      </c>
      <c r="E393">
        <v>37</v>
      </c>
      <c r="F393">
        <v>5330</v>
      </c>
      <c r="G393">
        <v>197210</v>
      </c>
    </row>
    <row r="394" spans="1:7" x14ac:dyDescent="0.2">
      <c r="A394">
        <v>393</v>
      </c>
      <c r="B394" t="s">
        <v>304</v>
      </c>
      <c r="C394" t="s">
        <v>45</v>
      </c>
      <c r="D394" t="s">
        <v>51</v>
      </c>
      <c r="E394">
        <v>38</v>
      </c>
      <c r="F394">
        <v>14290</v>
      </c>
      <c r="G394">
        <v>543020</v>
      </c>
    </row>
    <row r="395" spans="1:7" x14ac:dyDescent="0.2">
      <c r="A395">
        <v>394</v>
      </c>
      <c r="B395" t="s">
        <v>305</v>
      </c>
      <c r="C395" t="s">
        <v>50</v>
      </c>
      <c r="D395" t="s">
        <v>51</v>
      </c>
      <c r="E395">
        <v>29</v>
      </c>
      <c r="F395">
        <v>14960</v>
      </c>
    </row>
    <row r="396" spans="1:7" x14ac:dyDescent="0.2">
      <c r="A396">
        <v>395</v>
      </c>
      <c r="B396" t="s">
        <v>306</v>
      </c>
      <c r="C396" t="s">
        <v>50</v>
      </c>
      <c r="D396" t="s">
        <v>35</v>
      </c>
      <c r="E396">
        <v>6</v>
      </c>
      <c r="F396">
        <v>3190</v>
      </c>
      <c r="G396">
        <v>19140</v>
      </c>
    </row>
    <row r="397" spans="1:7" x14ac:dyDescent="0.2">
      <c r="A397">
        <v>396</v>
      </c>
      <c r="B397" t="s">
        <v>307</v>
      </c>
      <c r="C397" t="s">
        <v>50</v>
      </c>
      <c r="D397" t="s">
        <v>44</v>
      </c>
      <c r="E397">
        <v>18</v>
      </c>
      <c r="F397">
        <v>3980</v>
      </c>
      <c r="G397">
        <v>71640</v>
      </c>
    </row>
    <row r="398" spans="1:7" x14ac:dyDescent="0.2">
      <c r="A398">
        <v>397</v>
      </c>
      <c r="B398" t="s">
        <v>307</v>
      </c>
      <c r="C398" t="s">
        <v>34</v>
      </c>
      <c r="D398" t="s">
        <v>51</v>
      </c>
      <c r="E398">
        <v>25</v>
      </c>
      <c r="F398">
        <v>15390</v>
      </c>
      <c r="G398">
        <v>384750</v>
      </c>
    </row>
    <row r="399" spans="1:7" x14ac:dyDescent="0.2">
      <c r="A399">
        <v>398</v>
      </c>
      <c r="B399" t="s">
        <v>307</v>
      </c>
      <c r="C399" t="s">
        <v>47</v>
      </c>
      <c r="D399" t="s">
        <v>42</v>
      </c>
      <c r="E399">
        <v>11</v>
      </c>
      <c r="F399">
        <v>4570</v>
      </c>
      <c r="G399">
        <v>50270</v>
      </c>
    </row>
    <row r="400" spans="1:7" x14ac:dyDescent="0.2">
      <c r="A400">
        <v>399</v>
      </c>
      <c r="B400" t="s">
        <v>308</v>
      </c>
      <c r="C400" t="s">
        <v>50</v>
      </c>
      <c r="D400" t="s">
        <v>37</v>
      </c>
      <c r="E400">
        <v>38</v>
      </c>
      <c r="F400">
        <v>3480</v>
      </c>
      <c r="G400">
        <v>132240</v>
      </c>
    </row>
    <row r="401" spans="1:7" x14ac:dyDescent="0.2">
      <c r="A401">
        <v>400</v>
      </c>
      <c r="B401" t="s">
        <v>309</v>
      </c>
      <c r="C401" t="s">
        <v>47</v>
      </c>
      <c r="D401" t="s">
        <v>48</v>
      </c>
      <c r="E401">
        <v>36</v>
      </c>
      <c r="F401">
        <v>1830</v>
      </c>
      <c r="G401">
        <v>65880</v>
      </c>
    </row>
    <row r="402" spans="1:7" x14ac:dyDescent="0.2">
      <c r="A402">
        <v>401</v>
      </c>
      <c r="B402" t="s">
        <v>309</v>
      </c>
      <c r="C402" t="s">
        <v>41</v>
      </c>
      <c r="D402" t="s">
        <v>39</v>
      </c>
      <c r="E402">
        <v>20</v>
      </c>
      <c r="F402">
        <v>2500</v>
      </c>
      <c r="G402">
        <v>50000</v>
      </c>
    </row>
    <row r="403" spans="1:7" x14ac:dyDescent="0.2">
      <c r="A403">
        <v>402</v>
      </c>
      <c r="B403" t="s">
        <v>310</v>
      </c>
      <c r="C403" t="s">
        <v>32</v>
      </c>
      <c r="D403" t="s">
        <v>33</v>
      </c>
      <c r="E403">
        <v>30</v>
      </c>
      <c r="F403">
        <v>18640</v>
      </c>
      <c r="G403">
        <v>559200</v>
      </c>
    </row>
    <row r="404" spans="1:7" x14ac:dyDescent="0.2">
      <c r="A404">
        <v>403</v>
      </c>
      <c r="B404" t="s">
        <v>310</v>
      </c>
      <c r="C404" t="s">
        <v>41</v>
      </c>
      <c r="D404" t="s">
        <v>37</v>
      </c>
      <c r="E404">
        <v>34</v>
      </c>
      <c r="F404">
        <v>3420</v>
      </c>
      <c r="G404">
        <v>116280</v>
      </c>
    </row>
    <row r="405" spans="1:7" x14ac:dyDescent="0.2">
      <c r="A405">
        <v>404</v>
      </c>
      <c r="B405" t="s">
        <v>311</v>
      </c>
      <c r="C405" t="s">
        <v>50</v>
      </c>
      <c r="D405" t="s">
        <v>40</v>
      </c>
      <c r="E405">
        <v>19</v>
      </c>
      <c r="F405">
        <v>6010</v>
      </c>
      <c r="G405">
        <v>114190</v>
      </c>
    </row>
    <row r="406" spans="1:7" x14ac:dyDescent="0.2">
      <c r="A406">
        <v>405</v>
      </c>
      <c r="B406" t="s">
        <v>311</v>
      </c>
      <c r="C406" t="s">
        <v>36</v>
      </c>
      <c r="D406" t="s">
        <v>39</v>
      </c>
      <c r="E406">
        <v>29</v>
      </c>
      <c r="F406">
        <v>2610</v>
      </c>
      <c r="G406">
        <v>75690</v>
      </c>
    </row>
    <row r="407" spans="1:7" x14ac:dyDescent="0.2">
      <c r="A407">
        <v>406</v>
      </c>
      <c r="B407" t="s">
        <v>312</v>
      </c>
      <c r="C407" t="s">
        <v>49</v>
      </c>
      <c r="D407" t="s">
        <v>48</v>
      </c>
      <c r="E407">
        <v>24</v>
      </c>
      <c r="F407">
        <v>1670</v>
      </c>
      <c r="G407">
        <v>40080</v>
      </c>
    </row>
    <row r="408" spans="1:7" x14ac:dyDescent="0.2">
      <c r="A408">
        <v>407</v>
      </c>
      <c r="B408" t="s">
        <v>312</v>
      </c>
      <c r="C408" t="s">
        <v>38</v>
      </c>
      <c r="D408" t="s">
        <v>48</v>
      </c>
      <c r="E408">
        <v>31</v>
      </c>
      <c r="F408">
        <v>1710</v>
      </c>
      <c r="G408">
        <v>53010</v>
      </c>
    </row>
    <row r="409" spans="1:7" x14ac:dyDescent="0.2">
      <c r="A409">
        <v>408</v>
      </c>
      <c r="B409" t="s">
        <v>313</v>
      </c>
      <c r="C409" t="s">
        <v>38</v>
      </c>
      <c r="D409" t="s">
        <v>51</v>
      </c>
      <c r="E409">
        <v>14</v>
      </c>
      <c r="F409">
        <v>13780</v>
      </c>
      <c r="G409">
        <v>192920</v>
      </c>
    </row>
    <row r="410" spans="1:7" x14ac:dyDescent="0.2">
      <c r="A410">
        <v>409</v>
      </c>
      <c r="B410" t="s">
        <v>313</v>
      </c>
      <c r="C410" t="s">
        <v>34</v>
      </c>
      <c r="D410" t="s">
        <v>42</v>
      </c>
      <c r="E410">
        <v>6</v>
      </c>
      <c r="F410">
        <v>4460</v>
      </c>
      <c r="G410">
        <v>26760</v>
      </c>
    </row>
    <row r="411" spans="1:7" x14ac:dyDescent="0.2">
      <c r="A411">
        <v>410</v>
      </c>
      <c r="B411" t="s">
        <v>314</v>
      </c>
      <c r="C411" t="s">
        <v>41</v>
      </c>
      <c r="D411" t="s">
        <v>44</v>
      </c>
      <c r="E411">
        <v>7</v>
      </c>
      <c r="F411">
        <v>4030</v>
      </c>
      <c r="G411">
        <v>28210</v>
      </c>
    </row>
    <row r="412" spans="1:7" x14ac:dyDescent="0.2">
      <c r="A412">
        <v>411</v>
      </c>
      <c r="B412" t="s">
        <v>314</v>
      </c>
      <c r="C412" t="s">
        <v>38</v>
      </c>
      <c r="D412" t="s">
        <v>44</v>
      </c>
      <c r="E412">
        <v>13</v>
      </c>
      <c r="F412">
        <v>4110</v>
      </c>
      <c r="G412">
        <v>53430</v>
      </c>
    </row>
    <row r="413" spans="1:7" x14ac:dyDescent="0.2">
      <c r="A413">
        <v>412</v>
      </c>
      <c r="B413" t="s">
        <v>314</v>
      </c>
      <c r="C413" t="s">
        <v>49</v>
      </c>
      <c r="D413" t="s">
        <v>33</v>
      </c>
      <c r="E413">
        <v>19</v>
      </c>
      <c r="F413">
        <v>17720</v>
      </c>
      <c r="G413">
        <v>336680</v>
      </c>
    </row>
    <row r="414" spans="1:7" x14ac:dyDescent="0.2">
      <c r="A414">
        <v>413</v>
      </c>
      <c r="B414" t="s">
        <v>315</v>
      </c>
      <c r="C414" t="s">
        <v>34</v>
      </c>
      <c r="D414" t="s">
        <v>42</v>
      </c>
      <c r="E414">
        <v>19</v>
      </c>
      <c r="F414">
        <v>4100</v>
      </c>
      <c r="G414">
        <v>77900</v>
      </c>
    </row>
    <row r="415" spans="1:7" x14ac:dyDescent="0.2">
      <c r="A415">
        <v>414</v>
      </c>
      <c r="B415" t="s">
        <v>315</v>
      </c>
      <c r="C415" t="s">
        <v>32</v>
      </c>
      <c r="D415" t="s">
        <v>44</v>
      </c>
      <c r="E415">
        <v>21</v>
      </c>
      <c r="F415">
        <v>3750</v>
      </c>
      <c r="G415">
        <v>78750</v>
      </c>
    </row>
    <row r="416" spans="1:7" x14ac:dyDescent="0.2">
      <c r="A416">
        <v>415</v>
      </c>
      <c r="B416" t="s">
        <v>315</v>
      </c>
      <c r="C416" t="s">
        <v>32</v>
      </c>
      <c r="D416" t="s">
        <v>35</v>
      </c>
      <c r="E416">
        <v>15</v>
      </c>
      <c r="F416">
        <v>3170</v>
      </c>
      <c r="G416">
        <v>47550</v>
      </c>
    </row>
    <row r="417" spans="1:7" x14ac:dyDescent="0.2">
      <c r="A417">
        <v>416</v>
      </c>
      <c r="B417" t="s">
        <v>316</v>
      </c>
      <c r="C417" t="s">
        <v>49</v>
      </c>
      <c r="D417" t="s">
        <v>33</v>
      </c>
      <c r="E417">
        <v>18</v>
      </c>
      <c r="F417">
        <v>17750</v>
      </c>
      <c r="G417">
        <v>319500</v>
      </c>
    </row>
    <row r="418" spans="1:7" x14ac:dyDescent="0.2">
      <c r="A418">
        <v>417</v>
      </c>
      <c r="B418" t="s">
        <v>316</v>
      </c>
      <c r="C418" t="s">
        <v>46</v>
      </c>
      <c r="D418" t="s">
        <v>43</v>
      </c>
      <c r="E418">
        <v>31</v>
      </c>
      <c r="F418">
        <v>5560</v>
      </c>
      <c r="G418">
        <v>172360</v>
      </c>
    </row>
    <row r="419" spans="1:7" x14ac:dyDescent="0.2">
      <c r="A419">
        <v>418</v>
      </c>
      <c r="B419" t="s">
        <v>317</v>
      </c>
      <c r="C419" t="s">
        <v>32</v>
      </c>
      <c r="D419" t="s">
        <v>35</v>
      </c>
      <c r="E419">
        <v>24</v>
      </c>
      <c r="F419">
        <v>3040</v>
      </c>
      <c r="G419">
        <v>72960</v>
      </c>
    </row>
    <row r="420" spans="1:7" x14ac:dyDescent="0.2">
      <c r="A420">
        <v>419</v>
      </c>
      <c r="B420" t="s">
        <v>317</v>
      </c>
      <c r="C420" t="s">
        <v>34</v>
      </c>
      <c r="D420" t="s">
        <v>40</v>
      </c>
      <c r="E420">
        <v>21</v>
      </c>
      <c r="F420">
        <v>5490</v>
      </c>
    </row>
    <row r="421" spans="1:7" x14ac:dyDescent="0.2">
      <c r="A421">
        <v>420</v>
      </c>
      <c r="B421" t="s">
        <v>317</v>
      </c>
      <c r="C421" t="s">
        <v>38</v>
      </c>
      <c r="D421" t="s">
        <v>35</v>
      </c>
      <c r="E421">
        <v>20</v>
      </c>
      <c r="F421">
        <v>2970</v>
      </c>
      <c r="G421">
        <v>59400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BFB2-066D-304C-A31E-44DB5D2F9A6A}">
  <dimension ref="A1:D11"/>
  <sheetViews>
    <sheetView workbookViewId="0"/>
  </sheetViews>
  <sheetFormatPr baseColWidth="10" defaultColWidth="8.83203125" defaultRowHeight="15" x14ac:dyDescent="0.2"/>
  <cols>
    <col min="1" max="4" width="22.6640625" customWidth="1"/>
  </cols>
  <sheetData>
    <row r="1" spans="1:4" x14ac:dyDescent="0.2">
      <c r="A1" t="s">
        <v>27</v>
      </c>
      <c r="B1" t="s">
        <v>318</v>
      </c>
      <c r="C1" t="s">
        <v>319</v>
      </c>
      <c r="D1" t="s">
        <v>320</v>
      </c>
    </row>
    <row r="2" spans="1:4" x14ac:dyDescent="0.2">
      <c r="A2" t="s">
        <v>45</v>
      </c>
      <c r="B2" t="s">
        <v>321</v>
      </c>
      <c r="C2" t="s">
        <v>322</v>
      </c>
      <c r="D2" t="s">
        <v>323</v>
      </c>
    </row>
    <row r="3" spans="1:4" x14ac:dyDescent="0.2">
      <c r="A3" t="s">
        <v>38</v>
      </c>
      <c r="B3" t="s">
        <v>324</v>
      </c>
      <c r="C3" t="s">
        <v>325</v>
      </c>
      <c r="D3" t="s">
        <v>326</v>
      </c>
    </row>
    <row r="4" spans="1:4" x14ac:dyDescent="0.2">
      <c r="A4" t="s">
        <v>46</v>
      </c>
      <c r="B4" t="s">
        <v>327</v>
      </c>
      <c r="C4" t="s">
        <v>328</v>
      </c>
      <c r="D4" t="s">
        <v>329</v>
      </c>
    </row>
    <row r="5" spans="1:4" x14ac:dyDescent="0.2">
      <c r="A5" t="s">
        <v>34</v>
      </c>
      <c r="B5" t="s">
        <v>330</v>
      </c>
      <c r="C5" t="s">
        <v>325</v>
      </c>
      <c r="D5" t="s">
        <v>331</v>
      </c>
    </row>
    <row r="6" spans="1:4" x14ac:dyDescent="0.2">
      <c r="A6" t="s">
        <v>47</v>
      </c>
      <c r="B6" t="s">
        <v>332</v>
      </c>
      <c r="C6" t="s">
        <v>328</v>
      </c>
      <c r="D6" t="s">
        <v>333</v>
      </c>
    </row>
    <row r="7" spans="1:4" x14ac:dyDescent="0.2">
      <c r="A7" t="s">
        <v>50</v>
      </c>
      <c r="B7" t="s">
        <v>334</v>
      </c>
      <c r="C7" t="s">
        <v>322</v>
      </c>
      <c r="D7" t="s">
        <v>335</v>
      </c>
    </row>
    <row r="8" spans="1:4" x14ac:dyDescent="0.2">
      <c r="A8" t="s">
        <v>32</v>
      </c>
      <c r="B8" t="s">
        <v>336</v>
      </c>
      <c r="C8" t="s">
        <v>325</v>
      </c>
      <c r="D8" t="s">
        <v>323</v>
      </c>
    </row>
    <row r="9" spans="1:4" x14ac:dyDescent="0.2">
      <c r="A9" t="s">
        <v>36</v>
      </c>
      <c r="B9" t="s">
        <v>337</v>
      </c>
      <c r="C9" t="s">
        <v>328</v>
      </c>
      <c r="D9" t="s">
        <v>338</v>
      </c>
    </row>
    <row r="10" spans="1:4" x14ac:dyDescent="0.2">
      <c r="A10" t="s">
        <v>49</v>
      </c>
      <c r="B10" t="s">
        <v>339</v>
      </c>
      <c r="C10" t="s">
        <v>340</v>
      </c>
      <c r="D10" t="s">
        <v>323</v>
      </c>
    </row>
    <row r="11" spans="1:4" x14ac:dyDescent="0.2">
      <c r="A11" t="s">
        <v>41</v>
      </c>
      <c r="B11" t="s">
        <v>341</v>
      </c>
      <c r="C11" t="s">
        <v>340</v>
      </c>
      <c r="D11" t="s">
        <v>326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E20A-2F9B-3341-A5B9-ED61B9EE8155}">
  <dimension ref="A1:E11"/>
  <sheetViews>
    <sheetView workbookViewId="0"/>
  </sheetViews>
  <sheetFormatPr baseColWidth="10" defaultColWidth="8.83203125" defaultRowHeight="15" x14ac:dyDescent="0.2"/>
  <cols>
    <col min="1" max="5" width="22.6640625" customWidth="1"/>
  </cols>
  <sheetData>
    <row r="1" spans="1:5" x14ac:dyDescent="0.2">
      <c r="A1" t="s">
        <v>28</v>
      </c>
      <c r="B1" t="s">
        <v>342</v>
      </c>
      <c r="C1" t="s">
        <v>343</v>
      </c>
      <c r="D1" t="s">
        <v>344</v>
      </c>
      <c r="E1" t="s">
        <v>345</v>
      </c>
    </row>
    <row r="2" spans="1:5" x14ac:dyDescent="0.2">
      <c r="A2" t="s">
        <v>51</v>
      </c>
      <c r="B2" t="s">
        <v>346</v>
      </c>
      <c r="C2" t="s">
        <v>347</v>
      </c>
      <c r="D2" s="14">
        <v>9800</v>
      </c>
      <c r="E2" s="14">
        <v>14500</v>
      </c>
    </row>
    <row r="3" spans="1:5" x14ac:dyDescent="0.2">
      <c r="A3" t="s">
        <v>33</v>
      </c>
      <c r="B3" t="s">
        <v>348</v>
      </c>
      <c r="C3" t="s">
        <v>347</v>
      </c>
      <c r="D3" s="14">
        <v>12500</v>
      </c>
      <c r="E3" s="14">
        <v>18900</v>
      </c>
    </row>
    <row r="4" spans="1:5" x14ac:dyDescent="0.2">
      <c r="A4" t="s">
        <v>35</v>
      </c>
      <c r="B4" t="s">
        <v>349</v>
      </c>
      <c r="C4" t="s">
        <v>350</v>
      </c>
      <c r="D4" s="14">
        <v>1800</v>
      </c>
      <c r="E4" s="14">
        <v>3200</v>
      </c>
    </row>
    <row r="5" spans="1:5" x14ac:dyDescent="0.2">
      <c r="A5" t="s">
        <v>39</v>
      </c>
      <c r="B5" t="s">
        <v>351</v>
      </c>
      <c r="C5" t="s">
        <v>350</v>
      </c>
      <c r="D5" s="14">
        <v>1500</v>
      </c>
      <c r="E5" s="14">
        <v>2700</v>
      </c>
    </row>
    <row r="6" spans="1:5" x14ac:dyDescent="0.2">
      <c r="A6" t="s">
        <v>42</v>
      </c>
      <c r="B6" t="s">
        <v>352</v>
      </c>
      <c r="C6" t="s">
        <v>353</v>
      </c>
      <c r="D6" s="14">
        <v>2600</v>
      </c>
      <c r="E6" s="14">
        <v>4400</v>
      </c>
    </row>
    <row r="7" spans="1:5" x14ac:dyDescent="0.2">
      <c r="A7" t="s">
        <v>44</v>
      </c>
      <c r="B7" t="s">
        <v>354</v>
      </c>
      <c r="C7" t="s">
        <v>353</v>
      </c>
      <c r="D7" s="14">
        <v>2200</v>
      </c>
      <c r="E7" s="14">
        <v>3900</v>
      </c>
    </row>
    <row r="8" spans="1:5" x14ac:dyDescent="0.2">
      <c r="A8" t="s">
        <v>37</v>
      </c>
      <c r="B8" t="s">
        <v>355</v>
      </c>
      <c r="C8" t="s">
        <v>356</v>
      </c>
      <c r="D8" s="14">
        <v>1900</v>
      </c>
      <c r="E8" s="14">
        <v>3600</v>
      </c>
    </row>
    <row r="9" spans="1:5" x14ac:dyDescent="0.2">
      <c r="A9" t="s">
        <v>43</v>
      </c>
      <c r="B9" t="s">
        <v>357</v>
      </c>
      <c r="C9" t="s">
        <v>356</v>
      </c>
      <c r="D9" s="14">
        <v>2800</v>
      </c>
      <c r="E9" s="14">
        <v>5200</v>
      </c>
    </row>
    <row r="10" spans="1:5" x14ac:dyDescent="0.2">
      <c r="A10" t="s">
        <v>48</v>
      </c>
      <c r="B10" t="s">
        <v>358</v>
      </c>
      <c r="C10" t="s">
        <v>356</v>
      </c>
      <c r="D10" s="14">
        <v>900</v>
      </c>
      <c r="E10" s="14">
        <v>1800</v>
      </c>
    </row>
    <row r="11" spans="1:5" x14ac:dyDescent="0.2">
      <c r="A11" t="s">
        <v>40</v>
      </c>
      <c r="B11" t="s">
        <v>359</v>
      </c>
      <c r="C11" t="s">
        <v>360</v>
      </c>
      <c r="D11" s="14">
        <v>3100</v>
      </c>
      <c r="E11" s="14">
        <v>5600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E114-CE23-124E-BDD9-7E6855316424}">
  <dimension ref="A1:E366"/>
  <sheetViews>
    <sheetView workbookViewId="0"/>
  </sheetViews>
  <sheetFormatPr baseColWidth="10" defaultColWidth="8.83203125" defaultRowHeight="15" x14ac:dyDescent="0.2"/>
  <cols>
    <col min="1" max="5" width="16.6640625" customWidth="1"/>
  </cols>
  <sheetData>
    <row r="1" spans="1:5" x14ac:dyDescent="0.2">
      <c r="A1" t="s">
        <v>26</v>
      </c>
      <c r="B1" t="s">
        <v>361</v>
      </c>
      <c r="C1" t="s">
        <v>362</v>
      </c>
      <c r="D1" t="s">
        <v>363</v>
      </c>
      <c r="E1" t="s">
        <v>364</v>
      </c>
    </row>
    <row r="2" spans="1:5" x14ac:dyDescent="0.2">
      <c r="A2" s="13">
        <v>46023</v>
      </c>
      <c r="B2">
        <v>2026</v>
      </c>
      <c r="C2">
        <v>1</v>
      </c>
      <c r="D2" t="s">
        <v>365</v>
      </c>
      <c r="E2" t="s">
        <v>366</v>
      </c>
    </row>
    <row r="3" spans="1:5" x14ac:dyDescent="0.2">
      <c r="A3" s="13">
        <v>46024</v>
      </c>
      <c r="B3">
        <v>2026</v>
      </c>
      <c r="C3">
        <v>1</v>
      </c>
      <c r="D3" t="s">
        <v>365</v>
      </c>
      <c r="E3" t="s">
        <v>366</v>
      </c>
    </row>
    <row r="4" spans="1:5" x14ac:dyDescent="0.2">
      <c r="A4" s="13">
        <v>46025</v>
      </c>
      <c r="B4">
        <v>2026</v>
      </c>
      <c r="C4">
        <v>1</v>
      </c>
      <c r="D4" t="s">
        <v>365</v>
      </c>
      <c r="E4" t="s">
        <v>366</v>
      </c>
    </row>
    <row r="5" spans="1:5" x14ac:dyDescent="0.2">
      <c r="A5" s="13">
        <v>46026</v>
      </c>
      <c r="B5">
        <v>2026</v>
      </c>
      <c r="C5">
        <v>1</v>
      </c>
      <c r="D5" t="s">
        <v>365</v>
      </c>
      <c r="E5" t="s">
        <v>366</v>
      </c>
    </row>
    <row r="6" spans="1:5" x14ac:dyDescent="0.2">
      <c r="A6" s="13">
        <v>46027</v>
      </c>
      <c r="B6">
        <v>2026</v>
      </c>
      <c r="C6">
        <v>1</v>
      </c>
      <c r="D6" t="s">
        <v>365</v>
      </c>
      <c r="E6" t="s">
        <v>366</v>
      </c>
    </row>
    <row r="7" spans="1:5" x14ac:dyDescent="0.2">
      <c r="A7" s="13">
        <v>46028</v>
      </c>
      <c r="B7">
        <v>2026</v>
      </c>
      <c r="C7">
        <v>1</v>
      </c>
      <c r="D7" t="s">
        <v>365</v>
      </c>
      <c r="E7" t="s">
        <v>366</v>
      </c>
    </row>
    <row r="8" spans="1:5" x14ac:dyDescent="0.2">
      <c r="A8" s="13">
        <v>46029</v>
      </c>
      <c r="B8">
        <v>2026</v>
      </c>
      <c r="C8">
        <v>1</v>
      </c>
      <c r="D8" t="s">
        <v>365</v>
      </c>
      <c r="E8" t="s">
        <v>366</v>
      </c>
    </row>
    <row r="9" spans="1:5" x14ac:dyDescent="0.2">
      <c r="A9" s="13">
        <v>46030</v>
      </c>
      <c r="B9">
        <v>2026</v>
      </c>
      <c r="C9">
        <v>1</v>
      </c>
      <c r="D9" t="s">
        <v>365</v>
      </c>
      <c r="E9" t="s">
        <v>366</v>
      </c>
    </row>
    <row r="10" spans="1:5" x14ac:dyDescent="0.2">
      <c r="A10" s="13">
        <v>46031</v>
      </c>
      <c r="B10">
        <v>2026</v>
      </c>
      <c r="C10">
        <v>1</v>
      </c>
      <c r="D10" t="s">
        <v>365</v>
      </c>
      <c r="E10" t="s">
        <v>366</v>
      </c>
    </row>
    <row r="11" spans="1:5" x14ac:dyDescent="0.2">
      <c r="A11" s="13">
        <v>46032</v>
      </c>
      <c r="B11">
        <v>2026</v>
      </c>
      <c r="C11">
        <v>1</v>
      </c>
      <c r="D11" t="s">
        <v>365</v>
      </c>
      <c r="E11" t="s">
        <v>366</v>
      </c>
    </row>
    <row r="12" spans="1:5" x14ac:dyDescent="0.2">
      <c r="A12" s="13">
        <v>46033</v>
      </c>
      <c r="B12">
        <v>2026</v>
      </c>
      <c r="C12">
        <v>1</v>
      </c>
      <c r="D12" t="s">
        <v>365</v>
      </c>
      <c r="E12" t="s">
        <v>366</v>
      </c>
    </row>
    <row r="13" spans="1:5" x14ac:dyDescent="0.2">
      <c r="A13" s="13">
        <v>46034</v>
      </c>
      <c r="B13">
        <v>2026</v>
      </c>
      <c r="C13">
        <v>1</v>
      </c>
      <c r="D13" t="s">
        <v>365</v>
      </c>
      <c r="E13" t="s">
        <v>366</v>
      </c>
    </row>
    <row r="14" spans="1:5" x14ac:dyDescent="0.2">
      <c r="A14" s="13">
        <v>46035</v>
      </c>
      <c r="B14">
        <v>2026</v>
      </c>
      <c r="C14">
        <v>1</v>
      </c>
      <c r="D14" t="s">
        <v>365</v>
      </c>
      <c r="E14" t="s">
        <v>366</v>
      </c>
    </row>
    <row r="15" spans="1:5" x14ac:dyDescent="0.2">
      <c r="A15" s="13">
        <v>46036</v>
      </c>
      <c r="B15">
        <v>2026</v>
      </c>
      <c r="C15">
        <v>1</v>
      </c>
      <c r="D15" t="s">
        <v>365</v>
      </c>
      <c r="E15" t="s">
        <v>366</v>
      </c>
    </row>
    <row r="16" spans="1:5" x14ac:dyDescent="0.2">
      <c r="A16" s="13">
        <v>46037</v>
      </c>
      <c r="B16">
        <v>2026</v>
      </c>
      <c r="C16">
        <v>1</v>
      </c>
      <c r="D16" t="s">
        <v>365</v>
      </c>
      <c r="E16" t="s">
        <v>366</v>
      </c>
    </row>
    <row r="17" spans="1:5" x14ac:dyDescent="0.2">
      <c r="A17" s="13">
        <v>46038</v>
      </c>
      <c r="B17">
        <v>2026</v>
      </c>
      <c r="C17">
        <v>1</v>
      </c>
      <c r="D17" t="s">
        <v>365</v>
      </c>
      <c r="E17" t="s">
        <v>366</v>
      </c>
    </row>
    <row r="18" spans="1:5" x14ac:dyDescent="0.2">
      <c r="A18" s="13">
        <v>46039</v>
      </c>
      <c r="B18">
        <v>2026</v>
      </c>
      <c r="C18">
        <v>1</v>
      </c>
      <c r="D18" t="s">
        <v>365</v>
      </c>
      <c r="E18" t="s">
        <v>366</v>
      </c>
    </row>
    <row r="19" spans="1:5" x14ac:dyDescent="0.2">
      <c r="A19" s="13">
        <v>46040</v>
      </c>
      <c r="B19">
        <v>2026</v>
      </c>
      <c r="C19">
        <v>1</v>
      </c>
      <c r="D19" t="s">
        <v>365</v>
      </c>
      <c r="E19" t="s">
        <v>366</v>
      </c>
    </row>
    <row r="20" spans="1:5" x14ac:dyDescent="0.2">
      <c r="A20" s="13">
        <v>46041</v>
      </c>
      <c r="B20">
        <v>2026</v>
      </c>
      <c r="C20">
        <v>1</v>
      </c>
      <c r="D20" t="s">
        <v>365</v>
      </c>
      <c r="E20" t="s">
        <v>366</v>
      </c>
    </row>
    <row r="21" spans="1:5" x14ac:dyDescent="0.2">
      <c r="A21" s="13">
        <v>46042</v>
      </c>
      <c r="B21">
        <v>2026</v>
      </c>
      <c r="C21">
        <v>1</v>
      </c>
      <c r="D21" t="s">
        <v>365</v>
      </c>
      <c r="E21" t="s">
        <v>366</v>
      </c>
    </row>
    <row r="22" spans="1:5" x14ac:dyDescent="0.2">
      <c r="A22" s="13">
        <v>46043</v>
      </c>
      <c r="B22">
        <v>2026</v>
      </c>
      <c r="C22">
        <v>1</v>
      </c>
      <c r="D22" t="s">
        <v>365</v>
      </c>
      <c r="E22" t="s">
        <v>366</v>
      </c>
    </row>
    <row r="23" spans="1:5" x14ac:dyDescent="0.2">
      <c r="A23" s="13">
        <v>46044</v>
      </c>
      <c r="B23">
        <v>2026</v>
      </c>
      <c r="C23">
        <v>1</v>
      </c>
      <c r="D23" t="s">
        <v>365</v>
      </c>
      <c r="E23" t="s">
        <v>366</v>
      </c>
    </row>
    <row r="24" spans="1:5" x14ac:dyDescent="0.2">
      <c r="A24" s="13">
        <v>46045</v>
      </c>
      <c r="B24">
        <v>2026</v>
      </c>
      <c r="C24">
        <v>1</v>
      </c>
      <c r="D24" t="s">
        <v>365</v>
      </c>
      <c r="E24" t="s">
        <v>366</v>
      </c>
    </row>
    <row r="25" spans="1:5" x14ac:dyDescent="0.2">
      <c r="A25" s="13">
        <v>46046</v>
      </c>
      <c r="B25">
        <v>2026</v>
      </c>
      <c r="C25">
        <v>1</v>
      </c>
      <c r="D25" t="s">
        <v>365</v>
      </c>
      <c r="E25" t="s">
        <v>366</v>
      </c>
    </row>
    <row r="26" spans="1:5" x14ac:dyDescent="0.2">
      <c r="A26" s="13">
        <v>46047</v>
      </c>
      <c r="B26">
        <v>2026</v>
      </c>
      <c r="C26">
        <v>1</v>
      </c>
      <c r="D26" t="s">
        <v>365</v>
      </c>
      <c r="E26" t="s">
        <v>366</v>
      </c>
    </row>
    <row r="27" spans="1:5" x14ac:dyDescent="0.2">
      <c r="A27" s="13">
        <v>46048</v>
      </c>
      <c r="B27">
        <v>2026</v>
      </c>
      <c r="C27">
        <v>1</v>
      </c>
      <c r="D27" t="s">
        <v>365</v>
      </c>
      <c r="E27" t="s">
        <v>366</v>
      </c>
    </row>
    <row r="28" spans="1:5" x14ac:dyDescent="0.2">
      <c r="A28" s="13">
        <v>46049</v>
      </c>
      <c r="B28">
        <v>2026</v>
      </c>
      <c r="C28">
        <v>1</v>
      </c>
      <c r="D28" t="s">
        <v>365</v>
      </c>
      <c r="E28" t="s">
        <v>366</v>
      </c>
    </row>
    <row r="29" spans="1:5" x14ac:dyDescent="0.2">
      <c r="A29" s="13">
        <v>46050</v>
      </c>
      <c r="B29">
        <v>2026</v>
      </c>
      <c r="C29">
        <v>1</v>
      </c>
      <c r="D29" t="s">
        <v>365</v>
      </c>
      <c r="E29" t="s">
        <v>366</v>
      </c>
    </row>
    <row r="30" spans="1:5" x14ac:dyDescent="0.2">
      <c r="A30" s="13">
        <v>46051</v>
      </c>
      <c r="B30">
        <v>2026</v>
      </c>
      <c r="C30">
        <v>1</v>
      </c>
      <c r="D30" t="s">
        <v>365</v>
      </c>
      <c r="E30" t="s">
        <v>366</v>
      </c>
    </row>
    <row r="31" spans="1:5" x14ac:dyDescent="0.2">
      <c r="A31" s="13">
        <v>46052</v>
      </c>
      <c r="B31">
        <v>2026</v>
      </c>
      <c r="C31">
        <v>1</v>
      </c>
      <c r="D31" t="s">
        <v>365</v>
      </c>
      <c r="E31" t="s">
        <v>366</v>
      </c>
    </row>
    <row r="32" spans="1:5" x14ac:dyDescent="0.2">
      <c r="A32" s="13">
        <v>46053</v>
      </c>
      <c r="B32">
        <v>2026</v>
      </c>
      <c r="C32">
        <v>1</v>
      </c>
      <c r="D32" t="s">
        <v>365</v>
      </c>
      <c r="E32" t="s">
        <v>366</v>
      </c>
    </row>
    <row r="33" spans="1:5" x14ac:dyDescent="0.2">
      <c r="A33" s="13">
        <v>46054</v>
      </c>
      <c r="B33">
        <v>2026</v>
      </c>
      <c r="C33">
        <v>2</v>
      </c>
      <c r="D33" t="s">
        <v>367</v>
      </c>
      <c r="E33" t="s">
        <v>366</v>
      </c>
    </row>
    <row r="34" spans="1:5" x14ac:dyDescent="0.2">
      <c r="A34" s="13">
        <v>46055</v>
      </c>
      <c r="B34">
        <v>2026</v>
      </c>
      <c r="C34">
        <v>2</v>
      </c>
      <c r="D34" t="s">
        <v>367</v>
      </c>
      <c r="E34" t="s">
        <v>366</v>
      </c>
    </row>
    <row r="35" spans="1:5" x14ac:dyDescent="0.2">
      <c r="A35" s="13">
        <v>46056</v>
      </c>
      <c r="B35">
        <v>2026</v>
      </c>
      <c r="C35">
        <v>2</v>
      </c>
      <c r="D35" t="s">
        <v>367</v>
      </c>
      <c r="E35" t="s">
        <v>366</v>
      </c>
    </row>
    <row r="36" spans="1:5" x14ac:dyDescent="0.2">
      <c r="A36" s="13">
        <v>46057</v>
      </c>
      <c r="B36">
        <v>2026</v>
      </c>
      <c r="C36">
        <v>2</v>
      </c>
      <c r="D36" t="s">
        <v>367</v>
      </c>
      <c r="E36" t="s">
        <v>366</v>
      </c>
    </row>
    <row r="37" spans="1:5" x14ac:dyDescent="0.2">
      <c r="A37" s="13">
        <v>46058</v>
      </c>
      <c r="B37">
        <v>2026</v>
      </c>
      <c r="C37">
        <v>2</v>
      </c>
      <c r="D37" t="s">
        <v>367</v>
      </c>
      <c r="E37" t="s">
        <v>366</v>
      </c>
    </row>
    <row r="38" spans="1:5" x14ac:dyDescent="0.2">
      <c r="A38" s="13">
        <v>46059</v>
      </c>
      <c r="B38">
        <v>2026</v>
      </c>
      <c r="C38">
        <v>2</v>
      </c>
      <c r="D38" t="s">
        <v>367</v>
      </c>
      <c r="E38" t="s">
        <v>366</v>
      </c>
    </row>
    <row r="39" spans="1:5" x14ac:dyDescent="0.2">
      <c r="A39" s="13">
        <v>46060</v>
      </c>
      <c r="B39">
        <v>2026</v>
      </c>
      <c r="C39">
        <v>2</v>
      </c>
      <c r="D39" t="s">
        <v>367</v>
      </c>
      <c r="E39" t="s">
        <v>366</v>
      </c>
    </row>
    <row r="40" spans="1:5" x14ac:dyDescent="0.2">
      <c r="A40" s="13">
        <v>46061</v>
      </c>
      <c r="B40">
        <v>2026</v>
      </c>
      <c r="C40">
        <v>2</v>
      </c>
      <c r="D40" t="s">
        <v>367</v>
      </c>
      <c r="E40" t="s">
        <v>366</v>
      </c>
    </row>
    <row r="41" spans="1:5" x14ac:dyDescent="0.2">
      <c r="A41" s="13">
        <v>46062</v>
      </c>
      <c r="B41">
        <v>2026</v>
      </c>
      <c r="C41">
        <v>2</v>
      </c>
      <c r="D41" t="s">
        <v>367</v>
      </c>
      <c r="E41" t="s">
        <v>366</v>
      </c>
    </row>
    <row r="42" spans="1:5" x14ac:dyDescent="0.2">
      <c r="A42" s="13">
        <v>46063</v>
      </c>
      <c r="B42">
        <v>2026</v>
      </c>
      <c r="C42">
        <v>2</v>
      </c>
      <c r="D42" t="s">
        <v>367</v>
      </c>
      <c r="E42" t="s">
        <v>366</v>
      </c>
    </row>
    <row r="43" spans="1:5" x14ac:dyDescent="0.2">
      <c r="A43" s="13">
        <v>46064</v>
      </c>
      <c r="B43">
        <v>2026</v>
      </c>
      <c r="C43">
        <v>2</v>
      </c>
      <c r="D43" t="s">
        <v>367</v>
      </c>
      <c r="E43" t="s">
        <v>366</v>
      </c>
    </row>
    <row r="44" spans="1:5" x14ac:dyDescent="0.2">
      <c r="A44" s="13">
        <v>46065</v>
      </c>
      <c r="B44">
        <v>2026</v>
      </c>
      <c r="C44">
        <v>2</v>
      </c>
      <c r="D44" t="s">
        <v>367</v>
      </c>
      <c r="E44" t="s">
        <v>366</v>
      </c>
    </row>
    <row r="45" spans="1:5" x14ac:dyDescent="0.2">
      <c r="A45" s="13">
        <v>46066</v>
      </c>
      <c r="B45">
        <v>2026</v>
      </c>
      <c r="C45">
        <v>2</v>
      </c>
      <c r="D45" t="s">
        <v>367</v>
      </c>
      <c r="E45" t="s">
        <v>366</v>
      </c>
    </row>
    <row r="46" spans="1:5" x14ac:dyDescent="0.2">
      <c r="A46" s="13">
        <v>46067</v>
      </c>
      <c r="B46">
        <v>2026</v>
      </c>
      <c r="C46">
        <v>2</v>
      </c>
      <c r="D46" t="s">
        <v>367</v>
      </c>
      <c r="E46" t="s">
        <v>366</v>
      </c>
    </row>
    <row r="47" spans="1:5" x14ac:dyDescent="0.2">
      <c r="A47" s="13">
        <v>46068</v>
      </c>
      <c r="B47">
        <v>2026</v>
      </c>
      <c r="C47">
        <v>2</v>
      </c>
      <c r="D47" t="s">
        <v>367</v>
      </c>
      <c r="E47" t="s">
        <v>366</v>
      </c>
    </row>
    <row r="48" spans="1:5" x14ac:dyDescent="0.2">
      <c r="A48" s="13">
        <v>46069</v>
      </c>
      <c r="B48">
        <v>2026</v>
      </c>
      <c r="C48">
        <v>2</v>
      </c>
      <c r="D48" t="s">
        <v>367</v>
      </c>
      <c r="E48" t="s">
        <v>366</v>
      </c>
    </row>
    <row r="49" spans="1:5" x14ac:dyDescent="0.2">
      <c r="A49" s="13">
        <v>46070</v>
      </c>
      <c r="B49">
        <v>2026</v>
      </c>
      <c r="C49">
        <v>2</v>
      </c>
      <c r="D49" t="s">
        <v>367</v>
      </c>
      <c r="E49" t="s">
        <v>366</v>
      </c>
    </row>
    <row r="50" spans="1:5" x14ac:dyDescent="0.2">
      <c r="A50" s="13">
        <v>46071</v>
      </c>
      <c r="B50">
        <v>2026</v>
      </c>
      <c r="C50">
        <v>2</v>
      </c>
      <c r="D50" t="s">
        <v>367</v>
      </c>
      <c r="E50" t="s">
        <v>366</v>
      </c>
    </row>
    <row r="51" spans="1:5" x14ac:dyDescent="0.2">
      <c r="A51" s="13">
        <v>46072</v>
      </c>
      <c r="B51">
        <v>2026</v>
      </c>
      <c r="C51">
        <v>2</v>
      </c>
      <c r="D51" t="s">
        <v>367</v>
      </c>
      <c r="E51" t="s">
        <v>366</v>
      </c>
    </row>
    <row r="52" spans="1:5" x14ac:dyDescent="0.2">
      <c r="A52" s="13">
        <v>46073</v>
      </c>
      <c r="B52">
        <v>2026</v>
      </c>
      <c r="C52">
        <v>2</v>
      </c>
      <c r="D52" t="s">
        <v>367</v>
      </c>
      <c r="E52" t="s">
        <v>366</v>
      </c>
    </row>
    <row r="53" spans="1:5" x14ac:dyDescent="0.2">
      <c r="A53" s="13">
        <v>46074</v>
      </c>
      <c r="B53">
        <v>2026</v>
      </c>
      <c r="C53">
        <v>2</v>
      </c>
      <c r="D53" t="s">
        <v>367</v>
      </c>
      <c r="E53" t="s">
        <v>366</v>
      </c>
    </row>
    <row r="54" spans="1:5" x14ac:dyDescent="0.2">
      <c r="A54" s="13">
        <v>46075</v>
      </c>
      <c r="B54">
        <v>2026</v>
      </c>
      <c r="C54">
        <v>2</v>
      </c>
      <c r="D54" t="s">
        <v>367</v>
      </c>
      <c r="E54" t="s">
        <v>366</v>
      </c>
    </row>
    <row r="55" spans="1:5" x14ac:dyDescent="0.2">
      <c r="A55" s="13">
        <v>46076</v>
      </c>
      <c r="B55">
        <v>2026</v>
      </c>
      <c r="C55">
        <v>2</v>
      </c>
      <c r="D55" t="s">
        <v>367</v>
      </c>
      <c r="E55" t="s">
        <v>366</v>
      </c>
    </row>
    <row r="56" spans="1:5" x14ac:dyDescent="0.2">
      <c r="A56" s="13">
        <v>46077</v>
      </c>
      <c r="B56">
        <v>2026</v>
      </c>
      <c r="C56">
        <v>2</v>
      </c>
      <c r="D56" t="s">
        <v>367</v>
      </c>
      <c r="E56" t="s">
        <v>366</v>
      </c>
    </row>
    <row r="57" spans="1:5" x14ac:dyDescent="0.2">
      <c r="A57" s="13">
        <v>46078</v>
      </c>
      <c r="B57">
        <v>2026</v>
      </c>
      <c r="C57">
        <v>2</v>
      </c>
      <c r="D57" t="s">
        <v>367</v>
      </c>
      <c r="E57" t="s">
        <v>366</v>
      </c>
    </row>
    <row r="58" spans="1:5" x14ac:dyDescent="0.2">
      <c r="A58" s="13">
        <v>46079</v>
      </c>
      <c r="B58">
        <v>2026</v>
      </c>
      <c r="C58">
        <v>2</v>
      </c>
      <c r="D58" t="s">
        <v>367</v>
      </c>
      <c r="E58" t="s">
        <v>366</v>
      </c>
    </row>
    <row r="59" spans="1:5" x14ac:dyDescent="0.2">
      <c r="A59" s="13">
        <v>46080</v>
      </c>
      <c r="B59">
        <v>2026</v>
      </c>
      <c r="C59">
        <v>2</v>
      </c>
      <c r="D59" t="s">
        <v>367</v>
      </c>
      <c r="E59" t="s">
        <v>366</v>
      </c>
    </row>
    <row r="60" spans="1:5" x14ac:dyDescent="0.2">
      <c r="A60" s="13">
        <v>46081</v>
      </c>
      <c r="B60">
        <v>2026</v>
      </c>
      <c r="C60">
        <v>2</v>
      </c>
      <c r="D60" t="s">
        <v>367</v>
      </c>
      <c r="E60" t="s">
        <v>366</v>
      </c>
    </row>
    <row r="61" spans="1:5" x14ac:dyDescent="0.2">
      <c r="A61" s="13">
        <v>46082</v>
      </c>
      <c r="B61">
        <v>2026</v>
      </c>
      <c r="C61">
        <v>3</v>
      </c>
      <c r="D61" t="s">
        <v>368</v>
      </c>
      <c r="E61" t="s">
        <v>366</v>
      </c>
    </row>
    <row r="62" spans="1:5" x14ac:dyDescent="0.2">
      <c r="A62" s="13">
        <v>46083</v>
      </c>
      <c r="B62">
        <v>2026</v>
      </c>
      <c r="C62">
        <v>3</v>
      </c>
      <c r="D62" t="s">
        <v>368</v>
      </c>
      <c r="E62" t="s">
        <v>366</v>
      </c>
    </row>
    <row r="63" spans="1:5" x14ac:dyDescent="0.2">
      <c r="A63" s="13">
        <v>46084</v>
      </c>
      <c r="B63">
        <v>2026</v>
      </c>
      <c r="C63">
        <v>3</v>
      </c>
      <c r="D63" t="s">
        <v>368</v>
      </c>
      <c r="E63" t="s">
        <v>366</v>
      </c>
    </row>
    <row r="64" spans="1:5" x14ac:dyDescent="0.2">
      <c r="A64" s="13">
        <v>46085</v>
      </c>
      <c r="B64">
        <v>2026</v>
      </c>
      <c r="C64">
        <v>3</v>
      </c>
      <c r="D64" t="s">
        <v>368</v>
      </c>
      <c r="E64" t="s">
        <v>366</v>
      </c>
    </row>
    <row r="65" spans="1:5" x14ac:dyDescent="0.2">
      <c r="A65" s="13">
        <v>46086</v>
      </c>
      <c r="B65">
        <v>2026</v>
      </c>
      <c r="C65">
        <v>3</v>
      </c>
      <c r="D65" t="s">
        <v>368</v>
      </c>
      <c r="E65" t="s">
        <v>366</v>
      </c>
    </row>
    <row r="66" spans="1:5" x14ac:dyDescent="0.2">
      <c r="A66" s="13">
        <v>46087</v>
      </c>
      <c r="B66">
        <v>2026</v>
      </c>
      <c r="C66">
        <v>3</v>
      </c>
      <c r="D66" t="s">
        <v>368</v>
      </c>
      <c r="E66" t="s">
        <v>366</v>
      </c>
    </row>
    <row r="67" spans="1:5" x14ac:dyDescent="0.2">
      <c r="A67" s="13">
        <v>46088</v>
      </c>
      <c r="B67">
        <v>2026</v>
      </c>
      <c r="C67">
        <v>3</v>
      </c>
      <c r="D67" t="s">
        <v>368</v>
      </c>
      <c r="E67" t="s">
        <v>366</v>
      </c>
    </row>
    <row r="68" spans="1:5" x14ac:dyDescent="0.2">
      <c r="A68" s="13">
        <v>46089</v>
      </c>
      <c r="B68">
        <v>2026</v>
      </c>
      <c r="C68">
        <v>3</v>
      </c>
      <c r="D68" t="s">
        <v>368</v>
      </c>
      <c r="E68" t="s">
        <v>366</v>
      </c>
    </row>
    <row r="69" spans="1:5" x14ac:dyDescent="0.2">
      <c r="A69" s="13">
        <v>46090</v>
      </c>
      <c r="B69">
        <v>2026</v>
      </c>
      <c r="C69">
        <v>3</v>
      </c>
      <c r="D69" t="s">
        <v>368</v>
      </c>
      <c r="E69" t="s">
        <v>366</v>
      </c>
    </row>
    <row r="70" spans="1:5" x14ac:dyDescent="0.2">
      <c r="A70" s="13">
        <v>46091</v>
      </c>
      <c r="B70">
        <v>2026</v>
      </c>
      <c r="C70">
        <v>3</v>
      </c>
      <c r="D70" t="s">
        <v>368</v>
      </c>
      <c r="E70" t="s">
        <v>366</v>
      </c>
    </row>
    <row r="71" spans="1:5" x14ac:dyDescent="0.2">
      <c r="A71" s="13">
        <v>46092</v>
      </c>
      <c r="B71">
        <v>2026</v>
      </c>
      <c r="C71">
        <v>3</v>
      </c>
      <c r="D71" t="s">
        <v>368</v>
      </c>
      <c r="E71" t="s">
        <v>366</v>
      </c>
    </row>
    <row r="72" spans="1:5" x14ac:dyDescent="0.2">
      <c r="A72" s="13">
        <v>46093</v>
      </c>
      <c r="B72">
        <v>2026</v>
      </c>
      <c r="C72">
        <v>3</v>
      </c>
      <c r="D72" t="s">
        <v>368</v>
      </c>
      <c r="E72" t="s">
        <v>366</v>
      </c>
    </row>
    <row r="73" spans="1:5" x14ac:dyDescent="0.2">
      <c r="A73" s="13">
        <v>46094</v>
      </c>
      <c r="B73">
        <v>2026</v>
      </c>
      <c r="C73">
        <v>3</v>
      </c>
      <c r="D73" t="s">
        <v>368</v>
      </c>
      <c r="E73" t="s">
        <v>366</v>
      </c>
    </row>
    <row r="74" spans="1:5" x14ac:dyDescent="0.2">
      <c r="A74" s="13">
        <v>46095</v>
      </c>
      <c r="B74">
        <v>2026</v>
      </c>
      <c r="C74">
        <v>3</v>
      </c>
      <c r="D74" t="s">
        <v>368</v>
      </c>
      <c r="E74" t="s">
        <v>366</v>
      </c>
    </row>
    <row r="75" spans="1:5" x14ac:dyDescent="0.2">
      <c r="A75" s="13">
        <v>46096</v>
      </c>
      <c r="B75">
        <v>2026</v>
      </c>
      <c r="C75">
        <v>3</v>
      </c>
      <c r="D75" t="s">
        <v>368</v>
      </c>
      <c r="E75" t="s">
        <v>366</v>
      </c>
    </row>
    <row r="76" spans="1:5" x14ac:dyDescent="0.2">
      <c r="A76" s="13">
        <v>46097</v>
      </c>
      <c r="B76">
        <v>2026</v>
      </c>
      <c r="C76">
        <v>3</v>
      </c>
      <c r="D76" t="s">
        <v>368</v>
      </c>
      <c r="E76" t="s">
        <v>366</v>
      </c>
    </row>
    <row r="77" spans="1:5" x14ac:dyDescent="0.2">
      <c r="A77" s="13">
        <v>46098</v>
      </c>
      <c r="B77">
        <v>2026</v>
      </c>
      <c r="C77">
        <v>3</v>
      </c>
      <c r="D77" t="s">
        <v>368</v>
      </c>
      <c r="E77" t="s">
        <v>366</v>
      </c>
    </row>
    <row r="78" spans="1:5" x14ac:dyDescent="0.2">
      <c r="A78" s="13">
        <v>46099</v>
      </c>
      <c r="B78">
        <v>2026</v>
      </c>
      <c r="C78">
        <v>3</v>
      </c>
      <c r="D78" t="s">
        <v>368</v>
      </c>
      <c r="E78" t="s">
        <v>366</v>
      </c>
    </row>
    <row r="79" spans="1:5" x14ac:dyDescent="0.2">
      <c r="A79" s="13">
        <v>46100</v>
      </c>
      <c r="B79">
        <v>2026</v>
      </c>
      <c r="C79">
        <v>3</v>
      </c>
      <c r="D79" t="s">
        <v>368</v>
      </c>
      <c r="E79" t="s">
        <v>366</v>
      </c>
    </row>
    <row r="80" spans="1:5" x14ac:dyDescent="0.2">
      <c r="A80" s="13">
        <v>46101</v>
      </c>
      <c r="B80">
        <v>2026</v>
      </c>
      <c r="C80">
        <v>3</v>
      </c>
      <c r="D80" t="s">
        <v>368</v>
      </c>
      <c r="E80" t="s">
        <v>366</v>
      </c>
    </row>
    <row r="81" spans="1:5" x14ac:dyDescent="0.2">
      <c r="A81" s="13">
        <v>46102</v>
      </c>
      <c r="B81">
        <v>2026</v>
      </c>
      <c r="C81">
        <v>3</v>
      </c>
      <c r="D81" t="s">
        <v>368</v>
      </c>
      <c r="E81" t="s">
        <v>366</v>
      </c>
    </row>
    <row r="82" spans="1:5" x14ac:dyDescent="0.2">
      <c r="A82" s="13">
        <v>46103</v>
      </c>
      <c r="B82">
        <v>2026</v>
      </c>
      <c r="C82">
        <v>3</v>
      </c>
      <c r="D82" t="s">
        <v>368</v>
      </c>
      <c r="E82" t="s">
        <v>366</v>
      </c>
    </row>
    <row r="83" spans="1:5" x14ac:dyDescent="0.2">
      <c r="A83" s="13">
        <v>46104</v>
      </c>
      <c r="B83">
        <v>2026</v>
      </c>
      <c r="C83">
        <v>3</v>
      </c>
      <c r="D83" t="s">
        <v>368</v>
      </c>
      <c r="E83" t="s">
        <v>366</v>
      </c>
    </row>
    <row r="84" spans="1:5" x14ac:dyDescent="0.2">
      <c r="A84" s="13">
        <v>46105</v>
      </c>
      <c r="B84">
        <v>2026</v>
      </c>
      <c r="C84">
        <v>3</v>
      </c>
      <c r="D84" t="s">
        <v>368</v>
      </c>
      <c r="E84" t="s">
        <v>366</v>
      </c>
    </row>
    <row r="85" spans="1:5" x14ac:dyDescent="0.2">
      <c r="A85" s="13">
        <v>46106</v>
      </c>
      <c r="B85">
        <v>2026</v>
      </c>
      <c r="C85">
        <v>3</v>
      </c>
      <c r="D85" t="s">
        <v>368</v>
      </c>
      <c r="E85" t="s">
        <v>366</v>
      </c>
    </row>
    <row r="86" spans="1:5" x14ac:dyDescent="0.2">
      <c r="A86" s="13">
        <v>46107</v>
      </c>
      <c r="B86">
        <v>2026</v>
      </c>
      <c r="C86">
        <v>3</v>
      </c>
      <c r="D86" t="s">
        <v>368</v>
      </c>
      <c r="E86" t="s">
        <v>366</v>
      </c>
    </row>
    <row r="87" spans="1:5" x14ac:dyDescent="0.2">
      <c r="A87" s="13">
        <v>46108</v>
      </c>
      <c r="B87">
        <v>2026</v>
      </c>
      <c r="C87">
        <v>3</v>
      </c>
      <c r="D87" t="s">
        <v>368</v>
      </c>
      <c r="E87" t="s">
        <v>366</v>
      </c>
    </row>
    <row r="88" spans="1:5" x14ac:dyDescent="0.2">
      <c r="A88" s="13">
        <v>46109</v>
      </c>
      <c r="B88">
        <v>2026</v>
      </c>
      <c r="C88">
        <v>3</v>
      </c>
      <c r="D88" t="s">
        <v>368</v>
      </c>
      <c r="E88" t="s">
        <v>366</v>
      </c>
    </row>
    <row r="89" spans="1:5" x14ac:dyDescent="0.2">
      <c r="A89" s="13">
        <v>46110</v>
      </c>
      <c r="B89">
        <v>2026</v>
      </c>
      <c r="C89">
        <v>3</v>
      </c>
      <c r="D89" t="s">
        <v>368</v>
      </c>
      <c r="E89" t="s">
        <v>366</v>
      </c>
    </row>
    <row r="90" spans="1:5" x14ac:dyDescent="0.2">
      <c r="A90" s="13">
        <v>46111</v>
      </c>
      <c r="B90">
        <v>2026</v>
      </c>
      <c r="C90">
        <v>3</v>
      </c>
      <c r="D90" t="s">
        <v>368</v>
      </c>
      <c r="E90" t="s">
        <v>366</v>
      </c>
    </row>
    <row r="91" spans="1:5" x14ac:dyDescent="0.2">
      <c r="A91" s="13">
        <v>46112</v>
      </c>
      <c r="B91">
        <v>2026</v>
      </c>
      <c r="C91">
        <v>3</v>
      </c>
      <c r="D91" t="s">
        <v>368</v>
      </c>
      <c r="E91" t="s">
        <v>366</v>
      </c>
    </row>
    <row r="92" spans="1:5" x14ac:dyDescent="0.2">
      <c r="A92" s="13">
        <v>46113</v>
      </c>
      <c r="B92">
        <v>2026</v>
      </c>
      <c r="C92">
        <v>4</v>
      </c>
      <c r="D92" t="s">
        <v>369</v>
      </c>
      <c r="E92" t="s">
        <v>370</v>
      </c>
    </row>
    <row r="93" spans="1:5" x14ac:dyDescent="0.2">
      <c r="A93" s="13">
        <v>46114</v>
      </c>
      <c r="B93">
        <v>2026</v>
      </c>
      <c r="C93">
        <v>4</v>
      </c>
      <c r="D93" t="s">
        <v>369</v>
      </c>
      <c r="E93" t="s">
        <v>370</v>
      </c>
    </row>
    <row r="94" spans="1:5" x14ac:dyDescent="0.2">
      <c r="A94" s="13">
        <v>46115</v>
      </c>
      <c r="B94">
        <v>2026</v>
      </c>
      <c r="C94">
        <v>4</v>
      </c>
      <c r="D94" t="s">
        <v>369</v>
      </c>
      <c r="E94" t="s">
        <v>370</v>
      </c>
    </row>
    <row r="95" spans="1:5" x14ac:dyDescent="0.2">
      <c r="A95" s="13">
        <v>46116</v>
      </c>
      <c r="B95">
        <v>2026</v>
      </c>
      <c r="C95">
        <v>4</v>
      </c>
      <c r="D95" t="s">
        <v>369</v>
      </c>
      <c r="E95" t="s">
        <v>370</v>
      </c>
    </row>
    <row r="96" spans="1:5" x14ac:dyDescent="0.2">
      <c r="A96" s="13">
        <v>46117</v>
      </c>
      <c r="B96">
        <v>2026</v>
      </c>
      <c r="C96">
        <v>4</v>
      </c>
      <c r="D96" t="s">
        <v>369</v>
      </c>
      <c r="E96" t="s">
        <v>370</v>
      </c>
    </row>
    <row r="97" spans="1:5" x14ac:dyDescent="0.2">
      <c r="A97" s="13">
        <v>46118</v>
      </c>
      <c r="B97">
        <v>2026</v>
      </c>
      <c r="C97">
        <v>4</v>
      </c>
      <c r="D97" t="s">
        <v>369</v>
      </c>
      <c r="E97" t="s">
        <v>370</v>
      </c>
    </row>
    <row r="98" spans="1:5" x14ac:dyDescent="0.2">
      <c r="A98" s="13">
        <v>46119</v>
      </c>
      <c r="B98">
        <v>2026</v>
      </c>
      <c r="C98">
        <v>4</v>
      </c>
      <c r="D98" t="s">
        <v>369</v>
      </c>
      <c r="E98" t="s">
        <v>370</v>
      </c>
    </row>
    <row r="99" spans="1:5" x14ac:dyDescent="0.2">
      <c r="A99" s="13">
        <v>46120</v>
      </c>
      <c r="B99">
        <v>2026</v>
      </c>
      <c r="C99">
        <v>4</v>
      </c>
      <c r="D99" t="s">
        <v>369</v>
      </c>
      <c r="E99" t="s">
        <v>370</v>
      </c>
    </row>
    <row r="100" spans="1:5" x14ac:dyDescent="0.2">
      <c r="A100" s="13">
        <v>46121</v>
      </c>
      <c r="B100">
        <v>2026</v>
      </c>
      <c r="C100">
        <v>4</v>
      </c>
      <c r="D100" t="s">
        <v>369</v>
      </c>
      <c r="E100" t="s">
        <v>370</v>
      </c>
    </row>
    <row r="101" spans="1:5" x14ac:dyDescent="0.2">
      <c r="A101" s="13">
        <v>46122</v>
      </c>
      <c r="B101">
        <v>2026</v>
      </c>
      <c r="C101">
        <v>4</v>
      </c>
      <c r="D101" t="s">
        <v>369</v>
      </c>
      <c r="E101" t="s">
        <v>370</v>
      </c>
    </row>
    <row r="102" spans="1:5" x14ac:dyDescent="0.2">
      <c r="A102" s="13">
        <v>46123</v>
      </c>
      <c r="B102">
        <v>2026</v>
      </c>
      <c r="C102">
        <v>4</v>
      </c>
      <c r="D102" t="s">
        <v>369</v>
      </c>
      <c r="E102" t="s">
        <v>370</v>
      </c>
    </row>
    <row r="103" spans="1:5" x14ac:dyDescent="0.2">
      <c r="A103" s="13">
        <v>46124</v>
      </c>
      <c r="B103">
        <v>2026</v>
      </c>
      <c r="C103">
        <v>4</v>
      </c>
      <c r="D103" t="s">
        <v>369</v>
      </c>
      <c r="E103" t="s">
        <v>370</v>
      </c>
    </row>
    <row r="104" spans="1:5" x14ac:dyDescent="0.2">
      <c r="A104" s="13">
        <v>46125</v>
      </c>
      <c r="B104">
        <v>2026</v>
      </c>
      <c r="C104">
        <v>4</v>
      </c>
      <c r="D104" t="s">
        <v>369</v>
      </c>
      <c r="E104" t="s">
        <v>370</v>
      </c>
    </row>
    <row r="105" spans="1:5" x14ac:dyDescent="0.2">
      <c r="A105" s="13">
        <v>46126</v>
      </c>
      <c r="B105">
        <v>2026</v>
      </c>
      <c r="C105">
        <v>4</v>
      </c>
      <c r="D105" t="s">
        <v>369</v>
      </c>
      <c r="E105" t="s">
        <v>370</v>
      </c>
    </row>
    <row r="106" spans="1:5" x14ac:dyDescent="0.2">
      <c r="A106" s="13">
        <v>46127</v>
      </c>
      <c r="B106">
        <v>2026</v>
      </c>
      <c r="C106">
        <v>4</v>
      </c>
      <c r="D106" t="s">
        <v>369</v>
      </c>
      <c r="E106" t="s">
        <v>370</v>
      </c>
    </row>
    <row r="107" spans="1:5" x14ac:dyDescent="0.2">
      <c r="A107" s="13">
        <v>46128</v>
      </c>
      <c r="B107">
        <v>2026</v>
      </c>
      <c r="C107">
        <v>4</v>
      </c>
      <c r="D107" t="s">
        <v>369</v>
      </c>
      <c r="E107" t="s">
        <v>370</v>
      </c>
    </row>
    <row r="108" spans="1:5" x14ac:dyDescent="0.2">
      <c r="A108" s="13">
        <v>46129</v>
      </c>
      <c r="B108">
        <v>2026</v>
      </c>
      <c r="C108">
        <v>4</v>
      </c>
      <c r="D108" t="s">
        <v>369</v>
      </c>
      <c r="E108" t="s">
        <v>370</v>
      </c>
    </row>
    <row r="109" spans="1:5" x14ac:dyDescent="0.2">
      <c r="A109" s="13">
        <v>46130</v>
      </c>
      <c r="B109">
        <v>2026</v>
      </c>
      <c r="C109">
        <v>4</v>
      </c>
      <c r="D109" t="s">
        <v>369</v>
      </c>
      <c r="E109" t="s">
        <v>370</v>
      </c>
    </row>
    <row r="110" spans="1:5" x14ac:dyDescent="0.2">
      <c r="A110" s="13">
        <v>46131</v>
      </c>
      <c r="B110">
        <v>2026</v>
      </c>
      <c r="C110">
        <v>4</v>
      </c>
      <c r="D110" t="s">
        <v>369</v>
      </c>
      <c r="E110" t="s">
        <v>370</v>
      </c>
    </row>
    <row r="111" spans="1:5" x14ac:dyDescent="0.2">
      <c r="A111" s="13">
        <v>46132</v>
      </c>
      <c r="B111">
        <v>2026</v>
      </c>
      <c r="C111">
        <v>4</v>
      </c>
      <c r="D111" t="s">
        <v>369</v>
      </c>
      <c r="E111" t="s">
        <v>370</v>
      </c>
    </row>
    <row r="112" spans="1:5" x14ac:dyDescent="0.2">
      <c r="A112" s="13">
        <v>46133</v>
      </c>
      <c r="B112">
        <v>2026</v>
      </c>
      <c r="C112">
        <v>4</v>
      </c>
      <c r="D112" t="s">
        <v>369</v>
      </c>
      <c r="E112" t="s">
        <v>370</v>
      </c>
    </row>
    <row r="113" spans="1:5" x14ac:dyDescent="0.2">
      <c r="A113" s="13">
        <v>46134</v>
      </c>
      <c r="B113">
        <v>2026</v>
      </c>
      <c r="C113">
        <v>4</v>
      </c>
      <c r="D113" t="s">
        <v>369</v>
      </c>
      <c r="E113" t="s">
        <v>370</v>
      </c>
    </row>
    <row r="114" spans="1:5" x14ac:dyDescent="0.2">
      <c r="A114" s="13">
        <v>46135</v>
      </c>
      <c r="B114">
        <v>2026</v>
      </c>
      <c r="C114">
        <v>4</v>
      </c>
      <c r="D114" t="s">
        <v>369</v>
      </c>
      <c r="E114" t="s">
        <v>370</v>
      </c>
    </row>
    <row r="115" spans="1:5" x14ac:dyDescent="0.2">
      <c r="A115" s="13">
        <v>46136</v>
      </c>
      <c r="B115">
        <v>2026</v>
      </c>
      <c r="C115">
        <v>4</v>
      </c>
      <c r="D115" t="s">
        <v>369</v>
      </c>
      <c r="E115" t="s">
        <v>370</v>
      </c>
    </row>
    <row r="116" spans="1:5" x14ac:dyDescent="0.2">
      <c r="A116" s="13">
        <v>46137</v>
      </c>
      <c r="B116">
        <v>2026</v>
      </c>
      <c r="C116">
        <v>4</v>
      </c>
      <c r="D116" t="s">
        <v>369</v>
      </c>
      <c r="E116" t="s">
        <v>370</v>
      </c>
    </row>
    <row r="117" spans="1:5" x14ac:dyDescent="0.2">
      <c r="A117" s="13">
        <v>46138</v>
      </c>
      <c r="B117">
        <v>2026</v>
      </c>
      <c r="C117">
        <v>4</v>
      </c>
      <c r="D117" t="s">
        <v>369</v>
      </c>
      <c r="E117" t="s">
        <v>370</v>
      </c>
    </row>
    <row r="118" spans="1:5" x14ac:dyDescent="0.2">
      <c r="A118" s="13">
        <v>46139</v>
      </c>
      <c r="B118">
        <v>2026</v>
      </c>
      <c r="C118">
        <v>4</v>
      </c>
      <c r="D118" t="s">
        <v>369</v>
      </c>
      <c r="E118" t="s">
        <v>370</v>
      </c>
    </row>
    <row r="119" spans="1:5" x14ac:dyDescent="0.2">
      <c r="A119" s="13">
        <v>46140</v>
      </c>
      <c r="B119">
        <v>2026</v>
      </c>
      <c r="C119">
        <v>4</v>
      </c>
      <c r="D119" t="s">
        <v>369</v>
      </c>
      <c r="E119" t="s">
        <v>370</v>
      </c>
    </row>
    <row r="120" spans="1:5" x14ac:dyDescent="0.2">
      <c r="A120" s="13">
        <v>46141</v>
      </c>
      <c r="B120">
        <v>2026</v>
      </c>
      <c r="C120">
        <v>4</v>
      </c>
      <c r="D120" t="s">
        <v>369</v>
      </c>
      <c r="E120" t="s">
        <v>370</v>
      </c>
    </row>
    <row r="121" spans="1:5" x14ac:dyDescent="0.2">
      <c r="A121" s="13">
        <v>46142</v>
      </c>
      <c r="B121">
        <v>2026</v>
      </c>
      <c r="C121">
        <v>4</v>
      </c>
      <c r="D121" t="s">
        <v>369</v>
      </c>
      <c r="E121" t="s">
        <v>370</v>
      </c>
    </row>
    <row r="122" spans="1:5" x14ac:dyDescent="0.2">
      <c r="A122" s="13">
        <v>46143</v>
      </c>
      <c r="B122">
        <v>2026</v>
      </c>
      <c r="C122">
        <v>5</v>
      </c>
      <c r="D122" t="s">
        <v>371</v>
      </c>
      <c r="E122" t="s">
        <v>370</v>
      </c>
    </row>
    <row r="123" spans="1:5" x14ac:dyDescent="0.2">
      <c r="A123" s="13">
        <v>46144</v>
      </c>
      <c r="B123">
        <v>2026</v>
      </c>
      <c r="C123">
        <v>5</v>
      </c>
      <c r="D123" t="s">
        <v>371</v>
      </c>
      <c r="E123" t="s">
        <v>370</v>
      </c>
    </row>
    <row r="124" spans="1:5" x14ac:dyDescent="0.2">
      <c r="A124" s="13">
        <v>46145</v>
      </c>
      <c r="B124">
        <v>2026</v>
      </c>
      <c r="C124">
        <v>5</v>
      </c>
      <c r="D124" t="s">
        <v>371</v>
      </c>
      <c r="E124" t="s">
        <v>370</v>
      </c>
    </row>
    <row r="125" spans="1:5" x14ac:dyDescent="0.2">
      <c r="A125" s="13">
        <v>46146</v>
      </c>
      <c r="B125">
        <v>2026</v>
      </c>
      <c r="C125">
        <v>5</v>
      </c>
      <c r="D125" t="s">
        <v>371</v>
      </c>
      <c r="E125" t="s">
        <v>370</v>
      </c>
    </row>
    <row r="126" spans="1:5" x14ac:dyDescent="0.2">
      <c r="A126" s="13">
        <v>46147</v>
      </c>
      <c r="B126">
        <v>2026</v>
      </c>
      <c r="C126">
        <v>5</v>
      </c>
      <c r="D126" t="s">
        <v>371</v>
      </c>
      <c r="E126" t="s">
        <v>370</v>
      </c>
    </row>
    <row r="127" spans="1:5" x14ac:dyDescent="0.2">
      <c r="A127" s="13">
        <v>46148</v>
      </c>
      <c r="B127">
        <v>2026</v>
      </c>
      <c r="C127">
        <v>5</v>
      </c>
      <c r="D127" t="s">
        <v>371</v>
      </c>
      <c r="E127" t="s">
        <v>370</v>
      </c>
    </row>
    <row r="128" spans="1:5" x14ac:dyDescent="0.2">
      <c r="A128" s="13">
        <v>46149</v>
      </c>
      <c r="B128">
        <v>2026</v>
      </c>
      <c r="C128">
        <v>5</v>
      </c>
      <c r="D128" t="s">
        <v>371</v>
      </c>
      <c r="E128" t="s">
        <v>370</v>
      </c>
    </row>
    <row r="129" spans="1:5" x14ac:dyDescent="0.2">
      <c r="A129" s="13">
        <v>46150</v>
      </c>
      <c r="B129">
        <v>2026</v>
      </c>
      <c r="C129">
        <v>5</v>
      </c>
      <c r="D129" t="s">
        <v>371</v>
      </c>
      <c r="E129" t="s">
        <v>370</v>
      </c>
    </row>
    <row r="130" spans="1:5" x14ac:dyDescent="0.2">
      <c r="A130" s="13">
        <v>46151</v>
      </c>
      <c r="B130">
        <v>2026</v>
      </c>
      <c r="C130">
        <v>5</v>
      </c>
      <c r="D130" t="s">
        <v>371</v>
      </c>
      <c r="E130" t="s">
        <v>370</v>
      </c>
    </row>
    <row r="131" spans="1:5" x14ac:dyDescent="0.2">
      <c r="A131" s="13">
        <v>46152</v>
      </c>
      <c r="B131">
        <v>2026</v>
      </c>
      <c r="C131">
        <v>5</v>
      </c>
      <c r="D131" t="s">
        <v>371</v>
      </c>
      <c r="E131" t="s">
        <v>370</v>
      </c>
    </row>
    <row r="132" spans="1:5" x14ac:dyDescent="0.2">
      <c r="A132" s="13">
        <v>46153</v>
      </c>
      <c r="B132">
        <v>2026</v>
      </c>
      <c r="C132">
        <v>5</v>
      </c>
      <c r="D132" t="s">
        <v>371</v>
      </c>
      <c r="E132" t="s">
        <v>370</v>
      </c>
    </row>
    <row r="133" spans="1:5" x14ac:dyDescent="0.2">
      <c r="A133" s="13">
        <v>46154</v>
      </c>
      <c r="B133">
        <v>2026</v>
      </c>
      <c r="C133">
        <v>5</v>
      </c>
      <c r="D133" t="s">
        <v>371</v>
      </c>
      <c r="E133" t="s">
        <v>370</v>
      </c>
    </row>
    <row r="134" spans="1:5" x14ac:dyDescent="0.2">
      <c r="A134" s="13">
        <v>46155</v>
      </c>
      <c r="B134">
        <v>2026</v>
      </c>
      <c r="C134">
        <v>5</v>
      </c>
      <c r="D134" t="s">
        <v>371</v>
      </c>
      <c r="E134" t="s">
        <v>370</v>
      </c>
    </row>
    <row r="135" spans="1:5" x14ac:dyDescent="0.2">
      <c r="A135" s="13">
        <v>46156</v>
      </c>
      <c r="B135">
        <v>2026</v>
      </c>
      <c r="C135">
        <v>5</v>
      </c>
      <c r="D135" t="s">
        <v>371</v>
      </c>
      <c r="E135" t="s">
        <v>370</v>
      </c>
    </row>
    <row r="136" spans="1:5" x14ac:dyDescent="0.2">
      <c r="A136" s="13">
        <v>46157</v>
      </c>
      <c r="B136">
        <v>2026</v>
      </c>
      <c r="C136">
        <v>5</v>
      </c>
      <c r="D136" t="s">
        <v>371</v>
      </c>
      <c r="E136" t="s">
        <v>370</v>
      </c>
    </row>
    <row r="137" spans="1:5" x14ac:dyDescent="0.2">
      <c r="A137" s="13">
        <v>46158</v>
      </c>
      <c r="B137">
        <v>2026</v>
      </c>
      <c r="C137">
        <v>5</v>
      </c>
      <c r="D137" t="s">
        <v>371</v>
      </c>
      <c r="E137" t="s">
        <v>370</v>
      </c>
    </row>
    <row r="138" spans="1:5" x14ac:dyDescent="0.2">
      <c r="A138" s="13">
        <v>46159</v>
      </c>
      <c r="B138">
        <v>2026</v>
      </c>
      <c r="C138">
        <v>5</v>
      </c>
      <c r="D138" t="s">
        <v>371</v>
      </c>
      <c r="E138" t="s">
        <v>370</v>
      </c>
    </row>
    <row r="139" spans="1:5" x14ac:dyDescent="0.2">
      <c r="A139" s="13">
        <v>46160</v>
      </c>
      <c r="B139">
        <v>2026</v>
      </c>
      <c r="C139">
        <v>5</v>
      </c>
      <c r="D139" t="s">
        <v>371</v>
      </c>
      <c r="E139" t="s">
        <v>370</v>
      </c>
    </row>
    <row r="140" spans="1:5" x14ac:dyDescent="0.2">
      <c r="A140" s="13">
        <v>46161</v>
      </c>
      <c r="B140">
        <v>2026</v>
      </c>
      <c r="C140">
        <v>5</v>
      </c>
      <c r="D140" t="s">
        <v>371</v>
      </c>
      <c r="E140" t="s">
        <v>370</v>
      </c>
    </row>
    <row r="141" spans="1:5" x14ac:dyDescent="0.2">
      <c r="A141" s="13">
        <v>46162</v>
      </c>
      <c r="B141">
        <v>2026</v>
      </c>
      <c r="C141">
        <v>5</v>
      </c>
      <c r="D141" t="s">
        <v>371</v>
      </c>
      <c r="E141" t="s">
        <v>370</v>
      </c>
    </row>
    <row r="142" spans="1:5" x14ac:dyDescent="0.2">
      <c r="A142" s="13">
        <v>46163</v>
      </c>
      <c r="B142">
        <v>2026</v>
      </c>
      <c r="C142">
        <v>5</v>
      </c>
      <c r="D142" t="s">
        <v>371</v>
      </c>
      <c r="E142" t="s">
        <v>370</v>
      </c>
    </row>
    <row r="143" spans="1:5" x14ac:dyDescent="0.2">
      <c r="A143" s="13">
        <v>46164</v>
      </c>
      <c r="B143">
        <v>2026</v>
      </c>
      <c r="C143">
        <v>5</v>
      </c>
      <c r="D143" t="s">
        <v>371</v>
      </c>
      <c r="E143" t="s">
        <v>370</v>
      </c>
    </row>
    <row r="144" spans="1:5" x14ac:dyDescent="0.2">
      <c r="A144" s="13">
        <v>46165</v>
      </c>
      <c r="B144">
        <v>2026</v>
      </c>
      <c r="C144">
        <v>5</v>
      </c>
      <c r="D144" t="s">
        <v>371</v>
      </c>
      <c r="E144" t="s">
        <v>370</v>
      </c>
    </row>
    <row r="145" spans="1:5" x14ac:dyDescent="0.2">
      <c r="A145" s="13">
        <v>46166</v>
      </c>
      <c r="B145">
        <v>2026</v>
      </c>
      <c r="C145">
        <v>5</v>
      </c>
      <c r="D145" t="s">
        <v>371</v>
      </c>
      <c r="E145" t="s">
        <v>370</v>
      </c>
    </row>
    <row r="146" spans="1:5" x14ac:dyDescent="0.2">
      <c r="A146" s="13">
        <v>46167</v>
      </c>
      <c r="B146">
        <v>2026</v>
      </c>
      <c r="C146">
        <v>5</v>
      </c>
      <c r="D146" t="s">
        <v>371</v>
      </c>
      <c r="E146" t="s">
        <v>370</v>
      </c>
    </row>
    <row r="147" spans="1:5" x14ac:dyDescent="0.2">
      <c r="A147" s="13">
        <v>46168</v>
      </c>
      <c r="B147">
        <v>2026</v>
      </c>
      <c r="C147">
        <v>5</v>
      </c>
      <c r="D147" t="s">
        <v>371</v>
      </c>
      <c r="E147" t="s">
        <v>370</v>
      </c>
    </row>
    <row r="148" spans="1:5" x14ac:dyDescent="0.2">
      <c r="A148" s="13">
        <v>46169</v>
      </c>
      <c r="B148">
        <v>2026</v>
      </c>
      <c r="C148">
        <v>5</v>
      </c>
      <c r="D148" t="s">
        <v>371</v>
      </c>
      <c r="E148" t="s">
        <v>370</v>
      </c>
    </row>
    <row r="149" spans="1:5" x14ac:dyDescent="0.2">
      <c r="A149" s="13">
        <v>46170</v>
      </c>
      <c r="B149">
        <v>2026</v>
      </c>
      <c r="C149">
        <v>5</v>
      </c>
      <c r="D149" t="s">
        <v>371</v>
      </c>
      <c r="E149" t="s">
        <v>370</v>
      </c>
    </row>
    <row r="150" spans="1:5" x14ac:dyDescent="0.2">
      <c r="A150" s="13">
        <v>46171</v>
      </c>
      <c r="B150">
        <v>2026</v>
      </c>
      <c r="C150">
        <v>5</v>
      </c>
      <c r="D150" t="s">
        <v>371</v>
      </c>
      <c r="E150" t="s">
        <v>370</v>
      </c>
    </row>
    <row r="151" spans="1:5" x14ac:dyDescent="0.2">
      <c r="A151" s="13">
        <v>46172</v>
      </c>
      <c r="B151">
        <v>2026</v>
      </c>
      <c r="C151">
        <v>5</v>
      </c>
      <c r="D151" t="s">
        <v>371</v>
      </c>
      <c r="E151" t="s">
        <v>370</v>
      </c>
    </row>
    <row r="152" spans="1:5" x14ac:dyDescent="0.2">
      <c r="A152" s="13">
        <v>46173</v>
      </c>
      <c r="B152">
        <v>2026</v>
      </c>
      <c r="C152">
        <v>5</v>
      </c>
      <c r="D152" t="s">
        <v>371</v>
      </c>
      <c r="E152" t="s">
        <v>370</v>
      </c>
    </row>
    <row r="153" spans="1:5" x14ac:dyDescent="0.2">
      <c r="A153" s="13">
        <v>46174</v>
      </c>
      <c r="B153">
        <v>2026</v>
      </c>
      <c r="C153">
        <v>6</v>
      </c>
      <c r="D153" t="s">
        <v>372</v>
      </c>
      <c r="E153" t="s">
        <v>370</v>
      </c>
    </row>
    <row r="154" spans="1:5" x14ac:dyDescent="0.2">
      <c r="A154" s="13">
        <v>46175</v>
      </c>
      <c r="B154">
        <v>2026</v>
      </c>
      <c r="C154">
        <v>6</v>
      </c>
      <c r="D154" t="s">
        <v>372</v>
      </c>
      <c r="E154" t="s">
        <v>370</v>
      </c>
    </row>
    <row r="155" spans="1:5" x14ac:dyDescent="0.2">
      <c r="A155" s="13">
        <v>46176</v>
      </c>
      <c r="B155">
        <v>2026</v>
      </c>
      <c r="C155">
        <v>6</v>
      </c>
      <c r="D155" t="s">
        <v>372</v>
      </c>
      <c r="E155" t="s">
        <v>370</v>
      </c>
    </row>
    <row r="156" spans="1:5" x14ac:dyDescent="0.2">
      <c r="A156" s="13">
        <v>46177</v>
      </c>
      <c r="B156">
        <v>2026</v>
      </c>
      <c r="C156">
        <v>6</v>
      </c>
      <c r="D156" t="s">
        <v>372</v>
      </c>
      <c r="E156" t="s">
        <v>370</v>
      </c>
    </row>
    <row r="157" spans="1:5" x14ac:dyDescent="0.2">
      <c r="A157" s="13">
        <v>46178</v>
      </c>
      <c r="B157">
        <v>2026</v>
      </c>
      <c r="C157">
        <v>6</v>
      </c>
      <c r="D157" t="s">
        <v>372</v>
      </c>
      <c r="E157" t="s">
        <v>370</v>
      </c>
    </row>
    <row r="158" spans="1:5" x14ac:dyDescent="0.2">
      <c r="A158" s="13">
        <v>46179</v>
      </c>
      <c r="B158">
        <v>2026</v>
      </c>
      <c r="C158">
        <v>6</v>
      </c>
      <c r="D158" t="s">
        <v>372</v>
      </c>
      <c r="E158" t="s">
        <v>370</v>
      </c>
    </row>
    <row r="159" spans="1:5" x14ac:dyDescent="0.2">
      <c r="A159" s="13">
        <v>46180</v>
      </c>
      <c r="B159">
        <v>2026</v>
      </c>
      <c r="C159">
        <v>6</v>
      </c>
      <c r="D159" t="s">
        <v>372</v>
      </c>
      <c r="E159" t="s">
        <v>370</v>
      </c>
    </row>
    <row r="160" spans="1:5" x14ac:dyDescent="0.2">
      <c r="A160" s="13">
        <v>46181</v>
      </c>
      <c r="B160">
        <v>2026</v>
      </c>
      <c r="C160">
        <v>6</v>
      </c>
      <c r="D160" t="s">
        <v>372</v>
      </c>
      <c r="E160" t="s">
        <v>370</v>
      </c>
    </row>
    <row r="161" spans="1:5" x14ac:dyDescent="0.2">
      <c r="A161" s="13">
        <v>46182</v>
      </c>
      <c r="B161">
        <v>2026</v>
      </c>
      <c r="C161">
        <v>6</v>
      </c>
      <c r="D161" t="s">
        <v>372</v>
      </c>
      <c r="E161" t="s">
        <v>370</v>
      </c>
    </row>
    <row r="162" spans="1:5" x14ac:dyDescent="0.2">
      <c r="A162" s="13">
        <v>46183</v>
      </c>
      <c r="B162">
        <v>2026</v>
      </c>
      <c r="C162">
        <v>6</v>
      </c>
      <c r="D162" t="s">
        <v>372</v>
      </c>
      <c r="E162" t="s">
        <v>370</v>
      </c>
    </row>
    <row r="163" spans="1:5" x14ac:dyDescent="0.2">
      <c r="A163" s="13">
        <v>46184</v>
      </c>
      <c r="B163">
        <v>2026</v>
      </c>
      <c r="C163">
        <v>6</v>
      </c>
      <c r="D163" t="s">
        <v>372</v>
      </c>
      <c r="E163" t="s">
        <v>370</v>
      </c>
    </row>
    <row r="164" spans="1:5" x14ac:dyDescent="0.2">
      <c r="A164" s="13">
        <v>46185</v>
      </c>
      <c r="B164">
        <v>2026</v>
      </c>
      <c r="C164">
        <v>6</v>
      </c>
      <c r="D164" t="s">
        <v>372</v>
      </c>
      <c r="E164" t="s">
        <v>370</v>
      </c>
    </row>
    <row r="165" spans="1:5" x14ac:dyDescent="0.2">
      <c r="A165" s="13">
        <v>46186</v>
      </c>
      <c r="B165">
        <v>2026</v>
      </c>
      <c r="C165">
        <v>6</v>
      </c>
      <c r="D165" t="s">
        <v>372</v>
      </c>
      <c r="E165" t="s">
        <v>370</v>
      </c>
    </row>
    <row r="166" spans="1:5" x14ac:dyDescent="0.2">
      <c r="A166" s="13">
        <v>46187</v>
      </c>
      <c r="B166">
        <v>2026</v>
      </c>
      <c r="C166">
        <v>6</v>
      </c>
      <c r="D166" t="s">
        <v>372</v>
      </c>
      <c r="E166" t="s">
        <v>370</v>
      </c>
    </row>
    <row r="167" spans="1:5" x14ac:dyDescent="0.2">
      <c r="A167" s="13">
        <v>46188</v>
      </c>
      <c r="B167">
        <v>2026</v>
      </c>
      <c r="C167">
        <v>6</v>
      </c>
      <c r="D167" t="s">
        <v>372</v>
      </c>
      <c r="E167" t="s">
        <v>370</v>
      </c>
    </row>
    <row r="168" spans="1:5" x14ac:dyDescent="0.2">
      <c r="A168" s="13">
        <v>46189</v>
      </c>
      <c r="B168">
        <v>2026</v>
      </c>
      <c r="C168">
        <v>6</v>
      </c>
      <c r="D168" t="s">
        <v>372</v>
      </c>
      <c r="E168" t="s">
        <v>370</v>
      </c>
    </row>
    <row r="169" spans="1:5" x14ac:dyDescent="0.2">
      <c r="A169" s="13">
        <v>46190</v>
      </c>
      <c r="B169">
        <v>2026</v>
      </c>
      <c r="C169">
        <v>6</v>
      </c>
      <c r="D169" t="s">
        <v>372</v>
      </c>
      <c r="E169" t="s">
        <v>370</v>
      </c>
    </row>
    <row r="170" spans="1:5" x14ac:dyDescent="0.2">
      <c r="A170" s="13">
        <v>46191</v>
      </c>
      <c r="B170">
        <v>2026</v>
      </c>
      <c r="C170">
        <v>6</v>
      </c>
      <c r="D170" t="s">
        <v>372</v>
      </c>
      <c r="E170" t="s">
        <v>370</v>
      </c>
    </row>
    <row r="171" spans="1:5" x14ac:dyDescent="0.2">
      <c r="A171" s="13">
        <v>46192</v>
      </c>
      <c r="B171">
        <v>2026</v>
      </c>
      <c r="C171">
        <v>6</v>
      </c>
      <c r="D171" t="s">
        <v>372</v>
      </c>
      <c r="E171" t="s">
        <v>370</v>
      </c>
    </row>
    <row r="172" spans="1:5" x14ac:dyDescent="0.2">
      <c r="A172" s="13">
        <v>46193</v>
      </c>
      <c r="B172">
        <v>2026</v>
      </c>
      <c r="C172">
        <v>6</v>
      </c>
      <c r="D172" t="s">
        <v>372</v>
      </c>
      <c r="E172" t="s">
        <v>370</v>
      </c>
    </row>
    <row r="173" spans="1:5" x14ac:dyDescent="0.2">
      <c r="A173" s="13">
        <v>46194</v>
      </c>
      <c r="B173">
        <v>2026</v>
      </c>
      <c r="C173">
        <v>6</v>
      </c>
      <c r="D173" t="s">
        <v>372</v>
      </c>
      <c r="E173" t="s">
        <v>370</v>
      </c>
    </row>
    <row r="174" spans="1:5" x14ac:dyDescent="0.2">
      <c r="A174" s="13">
        <v>46195</v>
      </c>
      <c r="B174">
        <v>2026</v>
      </c>
      <c r="C174">
        <v>6</v>
      </c>
      <c r="D174" t="s">
        <v>372</v>
      </c>
      <c r="E174" t="s">
        <v>370</v>
      </c>
    </row>
    <row r="175" spans="1:5" x14ac:dyDescent="0.2">
      <c r="A175" s="13">
        <v>46196</v>
      </c>
      <c r="B175">
        <v>2026</v>
      </c>
      <c r="C175">
        <v>6</v>
      </c>
      <c r="D175" t="s">
        <v>372</v>
      </c>
      <c r="E175" t="s">
        <v>370</v>
      </c>
    </row>
    <row r="176" spans="1:5" x14ac:dyDescent="0.2">
      <c r="A176" s="13">
        <v>46197</v>
      </c>
      <c r="B176">
        <v>2026</v>
      </c>
      <c r="C176">
        <v>6</v>
      </c>
      <c r="D176" t="s">
        <v>372</v>
      </c>
      <c r="E176" t="s">
        <v>370</v>
      </c>
    </row>
    <row r="177" spans="1:5" x14ac:dyDescent="0.2">
      <c r="A177" s="13">
        <v>46198</v>
      </c>
      <c r="B177">
        <v>2026</v>
      </c>
      <c r="C177">
        <v>6</v>
      </c>
      <c r="D177" t="s">
        <v>372</v>
      </c>
      <c r="E177" t="s">
        <v>370</v>
      </c>
    </row>
    <row r="178" spans="1:5" x14ac:dyDescent="0.2">
      <c r="A178" s="13">
        <v>46199</v>
      </c>
      <c r="B178">
        <v>2026</v>
      </c>
      <c r="C178">
        <v>6</v>
      </c>
      <c r="D178" t="s">
        <v>372</v>
      </c>
      <c r="E178" t="s">
        <v>370</v>
      </c>
    </row>
    <row r="179" spans="1:5" x14ac:dyDescent="0.2">
      <c r="A179" s="13">
        <v>46200</v>
      </c>
      <c r="B179">
        <v>2026</v>
      </c>
      <c r="C179">
        <v>6</v>
      </c>
      <c r="D179" t="s">
        <v>372</v>
      </c>
      <c r="E179" t="s">
        <v>370</v>
      </c>
    </row>
    <row r="180" spans="1:5" x14ac:dyDescent="0.2">
      <c r="A180" s="13">
        <v>46201</v>
      </c>
      <c r="B180">
        <v>2026</v>
      </c>
      <c r="C180">
        <v>6</v>
      </c>
      <c r="D180" t="s">
        <v>372</v>
      </c>
      <c r="E180" t="s">
        <v>370</v>
      </c>
    </row>
    <row r="181" spans="1:5" x14ac:dyDescent="0.2">
      <c r="A181" s="13">
        <v>46202</v>
      </c>
      <c r="B181">
        <v>2026</v>
      </c>
      <c r="C181">
        <v>6</v>
      </c>
      <c r="D181" t="s">
        <v>372</v>
      </c>
      <c r="E181" t="s">
        <v>370</v>
      </c>
    </row>
    <row r="182" spans="1:5" x14ac:dyDescent="0.2">
      <c r="A182" s="13">
        <v>46203</v>
      </c>
      <c r="B182">
        <v>2026</v>
      </c>
      <c r="C182">
        <v>6</v>
      </c>
      <c r="D182" t="s">
        <v>372</v>
      </c>
      <c r="E182" t="s">
        <v>370</v>
      </c>
    </row>
    <row r="183" spans="1:5" x14ac:dyDescent="0.2">
      <c r="A183" s="13">
        <v>46204</v>
      </c>
      <c r="B183">
        <v>2026</v>
      </c>
      <c r="C183">
        <v>7</v>
      </c>
      <c r="D183" t="s">
        <v>373</v>
      </c>
      <c r="E183" t="s">
        <v>374</v>
      </c>
    </row>
    <row r="184" spans="1:5" x14ac:dyDescent="0.2">
      <c r="A184" s="13">
        <v>46205</v>
      </c>
      <c r="B184">
        <v>2026</v>
      </c>
      <c r="C184">
        <v>7</v>
      </c>
      <c r="D184" t="s">
        <v>373</v>
      </c>
      <c r="E184" t="s">
        <v>374</v>
      </c>
    </row>
    <row r="185" spans="1:5" x14ac:dyDescent="0.2">
      <c r="A185" s="13">
        <v>46206</v>
      </c>
      <c r="B185">
        <v>2026</v>
      </c>
      <c r="C185">
        <v>7</v>
      </c>
      <c r="D185" t="s">
        <v>373</v>
      </c>
      <c r="E185" t="s">
        <v>374</v>
      </c>
    </row>
    <row r="186" spans="1:5" x14ac:dyDescent="0.2">
      <c r="A186" s="13">
        <v>46207</v>
      </c>
      <c r="B186">
        <v>2026</v>
      </c>
      <c r="C186">
        <v>7</v>
      </c>
      <c r="D186" t="s">
        <v>373</v>
      </c>
      <c r="E186" t="s">
        <v>374</v>
      </c>
    </row>
    <row r="187" spans="1:5" x14ac:dyDescent="0.2">
      <c r="A187" s="13">
        <v>46208</v>
      </c>
      <c r="B187">
        <v>2026</v>
      </c>
      <c r="C187">
        <v>7</v>
      </c>
      <c r="D187" t="s">
        <v>373</v>
      </c>
      <c r="E187" t="s">
        <v>374</v>
      </c>
    </row>
    <row r="188" spans="1:5" x14ac:dyDescent="0.2">
      <c r="A188" s="13">
        <v>46209</v>
      </c>
      <c r="B188">
        <v>2026</v>
      </c>
      <c r="C188">
        <v>7</v>
      </c>
      <c r="D188" t="s">
        <v>373</v>
      </c>
      <c r="E188" t="s">
        <v>374</v>
      </c>
    </row>
    <row r="189" spans="1:5" x14ac:dyDescent="0.2">
      <c r="A189" s="13">
        <v>46210</v>
      </c>
      <c r="B189">
        <v>2026</v>
      </c>
      <c r="C189">
        <v>7</v>
      </c>
      <c r="D189" t="s">
        <v>373</v>
      </c>
      <c r="E189" t="s">
        <v>374</v>
      </c>
    </row>
    <row r="190" spans="1:5" x14ac:dyDescent="0.2">
      <c r="A190" s="13">
        <v>46211</v>
      </c>
      <c r="B190">
        <v>2026</v>
      </c>
      <c r="C190">
        <v>7</v>
      </c>
      <c r="D190" t="s">
        <v>373</v>
      </c>
      <c r="E190" t="s">
        <v>374</v>
      </c>
    </row>
    <row r="191" spans="1:5" x14ac:dyDescent="0.2">
      <c r="A191" s="13">
        <v>46212</v>
      </c>
      <c r="B191">
        <v>2026</v>
      </c>
      <c r="C191">
        <v>7</v>
      </c>
      <c r="D191" t="s">
        <v>373</v>
      </c>
      <c r="E191" t="s">
        <v>374</v>
      </c>
    </row>
    <row r="192" spans="1:5" x14ac:dyDescent="0.2">
      <c r="A192" s="13">
        <v>46213</v>
      </c>
      <c r="B192">
        <v>2026</v>
      </c>
      <c r="C192">
        <v>7</v>
      </c>
      <c r="D192" t="s">
        <v>373</v>
      </c>
      <c r="E192" t="s">
        <v>374</v>
      </c>
    </row>
    <row r="193" spans="1:5" x14ac:dyDescent="0.2">
      <c r="A193" s="13">
        <v>46214</v>
      </c>
      <c r="B193">
        <v>2026</v>
      </c>
      <c r="C193">
        <v>7</v>
      </c>
      <c r="D193" t="s">
        <v>373</v>
      </c>
      <c r="E193" t="s">
        <v>374</v>
      </c>
    </row>
    <row r="194" spans="1:5" x14ac:dyDescent="0.2">
      <c r="A194" s="13">
        <v>46215</v>
      </c>
      <c r="B194">
        <v>2026</v>
      </c>
      <c r="C194">
        <v>7</v>
      </c>
      <c r="D194" t="s">
        <v>373</v>
      </c>
      <c r="E194" t="s">
        <v>374</v>
      </c>
    </row>
    <row r="195" spans="1:5" x14ac:dyDescent="0.2">
      <c r="A195" s="13">
        <v>46216</v>
      </c>
      <c r="B195">
        <v>2026</v>
      </c>
      <c r="C195">
        <v>7</v>
      </c>
      <c r="D195" t="s">
        <v>373</v>
      </c>
      <c r="E195" t="s">
        <v>374</v>
      </c>
    </row>
    <row r="196" spans="1:5" x14ac:dyDescent="0.2">
      <c r="A196" s="13">
        <v>46217</v>
      </c>
      <c r="B196">
        <v>2026</v>
      </c>
      <c r="C196">
        <v>7</v>
      </c>
      <c r="D196" t="s">
        <v>373</v>
      </c>
      <c r="E196" t="s">
        <v>374</v>
      </c>
    </row>
    <row r="197" spans="1:5" x14ac:dyDescent="0.2">
      <c r="A197" s="13">
        <v>46218</v>
      </c>
      <c r="B197">
        <v>2026</v>
      </c>
      <c r="C197">
        <v>7</v>
      </c>
      <c r="D197" t="s">
        <v>373</v>
      </c>
      <c r="E197" t="s">
        <v>374</v>
      </c>
    </row>
    <row r="198" spans="1:5" x14ac:dyDescent="0.2">
      <c r="A198" s="13">
        <v>46219</v>
      </c>
      <c r="B198">
        <v>2026</v>
      </c>
      <c r="C198">
        <v>7</v>
      </c>
      <c r="D198" t="s">
        <v>373</v>
      </c>
      <c r="E198" t="s">
        <v>374</v>
      </c>
    </row>
    <row r="199" spans="1:5" x14ac:dyDescent="0.2">
      <c r="A199" s="13">
        <v>46220</v>
      </c>
      <c r="B199">
        <v>2026</v>
      </c>
      <c r="C199">
        <v>7</v>
      </c>
      <c r="D199" t="s">
        <v>373</v>
      </c>
      <c r="E199" t="s">
        <v>374</v>
      </c>
    </row>
    <row r="200" spans="1:5" x14ac:dyDescent="0.2">
      <c r="A200" s="13">
        <v>46221</v>
      </c>
      <c r="B200">
        <v>2026</v>
      </c>
      <c r="C200">
        <v>7</v>
      </c>
      <c r="D200" t="s">
        <v>373</v>
      </c>
      <c r="E200" t="s">
        <v>374</v>
      </c>
    </row>
    <row r="201" spans="1:5" x14ac:dyDescent="0.2">
      <c r="A201" s="13">
        <v>46222</v>
      </c>
      <c r="B201">
        <v>2026</v>
      </c>
      <c r="C201">
        <v>7</v>
      </c>
      <c r="D201" t="s">
        <v>373</v>
      </c>
      <c r="E201" t="s">
        <v>374</v>
      </c>
    </row>
    <row r="202" spans="1:5" x14ac:dyDescent="0.2">
      <c r="A202" s="13">
        <v>46223</v>
      </c>
      <c r="B202">
        <v>2026</v>
      </c>
      <c r="C202">
        <v>7</v>
      </c>
      <c r="D202" t="s">
        <v>373</v>
      </c>
      <c r="E202" t="s">
        <v>374</v>
      </c>
    </row>
    <row r="203" spans="1:5" x14ac:dyDescent="0.2">
      <c r="A203" s="13">
        <v>46224</v>
      </c>
      <c r="B203">
        <v>2026</v>
      </c>
      <c r="C203">
        <v>7</v>
      </c>
      <c r="D203" t="s">
        <v>373</v>
      </c>
      <c r="E203" t="s">
        <v>374</v>
      </c>
    </row>
    <row r="204" spans="1:5" x14ac:dyDescent="0.2">
      <c r="A204" s="13">
        <v>46225</v>
      </c>
      <c r="B204">
        <v>2026</v>
      </c>
      <c r="C204">
        <v>7</v>
      </c>
      <c r="D204" t="s">
        <v>373</v>
      </c>
      <c r="E204" t="s">
        <v>374</v>
      </c>
    </row>
    <row r="205" spans="1:5" x14ac:dyDescent="0.2">
      <c r="A205" s="13">
        <v>46226</v>
      </c>
      <c r="B205">
        <v>2026</v>
      </c>
      <c r="C205">
        <v>7</v>
      </c>
      <c r="D205" t="s">
        <v>373</v>
      </c>
      <c r="E205" t="s">
        <v>374</v>
      </c>
    </row>
    <row r="206" spans="1:5" x14ac:dyDescent="0.2">
      <c r="A206" s="13">
        <v>46227</v>
      </c>
      <c r="B206">
        <v>2026</v>
      </c>
      <c r="C206">
        <v>7</v>
      </c>
      <c r="D206" t="s">
        <v>373</v>
      </c>
      <c r="E206" t="s">
        <v>374</v>
      </c>
    </row>
    <row r="207" spans="1:5" x14ac:dyDescent="0.2">
      <c r="A207" s="13">
        <v>46228</v>
      </c>
      <c r="B207">
        <v>2026</v>
      </c>
      <c r="C207">
        <v>7</v>
      </c>
      <c r="D207" t="s">
        <v>373</v>
      </c>
      <c r="E207" t="s">
        <v>374</v>
      </c>
    </row>
    <row r="208" spans="1:5" x14ac:dyDescent="0.2">
      <c r="A208" s="13">
        <v>46229</v>
      </c>
      <c r="B208">
        <v>2026</v>
      </c>
      <c r="C208">
        <v>7</v>
      </c>
      <c r="D208" t="s">
        <v>373</v>
      </c>
      <c r="E208" t="s">
        <v>374</v>
      </c>
    </row>
    <row r="209" spans="1:5" x14ac:dyDescent="0.2">
      <c r="A209" s="13">
        <v>46230</v>
      </c>
      <c r="B209">
        <v>2026</v>
      </c>
      <c r="C209">
        <v>7</v>
      </c>
      <c r="D209" t="s">
        <v>373</v>
      </c>
      <c r="E209" t="s">
        <v>374</v>
      </c>
    </row>
    <row r="210" spans="1:5" x14ac:dyDescent="0.2">
      <c r="A210" s="13">
        <v>46231</v>
      </c>
      <c r="B210">
        <v>2026</v>
      </c>
      <c r="C210">
        <v>7</v>
      </c>
      <c r="D210" t="s">
        <v>373</v>
      </c>
      <c r="E210" t="s">
        <v>374</v>
      </c>
    </row>
    <row r="211" spans="1:5" x14ac:dyDescent="0.2">
      <c r="A211" s="13">
        <v>46232</v>
      </c>
      <c r="B211">
        <v>2026</v>
      </c>
      <c r="C211">
        <v>7</v>
      </c>
      <c r="D211" t="s">
        <v>373</v>
      </c>
      <c r="E211" t="s">
        <v>374</v>
      </c>
    </row>
    <row r="212" spans="1:5" x14ac:dyDescent="0.2">
      <c r="A212" s="13">
        <v>46233</v>
      </c>
      <c r="B212">
        <v>2026</v>
      </c>
      <c r="C212">
        <v>7</v>
      </c>
      <c r="D212" t="s">
        <v>373</v>
      </c>
      <c r="E212" t="s">
        <v>374</v>
      </c>
    </row>
    <row r="213" spans="1:5" x14ac:dyDescent="0.2">
      <c r="A213" s="13">
        <v>46234</v>
      </c>
      <c r="B213">
        <v>2026</v>
      </c>
      <c r="C213">
        <v>7</v>
      </c>
      <c r="D213" t="s">
        <v>373</v>
      </c>
      <c r="E213" t="s">
        <v>374</v>
      </c>
    </row>
    <row r="214" spans="1:5" x14ac:dyDescent="0.2">
      <c r="A214" s="13">
        <v>46235</v>
      </c>
      <c r="B214">
        <v>2026</v>
      </c>
      <c r="C214">
        <v>8</v>
      </c>
      <c r="D214" t="s">
        <v>375</v>
      </c>
      <c r="E214" t="s">
        <v>374</v>
      </c>
    </row>
    <row r="215" spans="1:5" x14ac:dyDescent="0.2">
      <c r="A215" s="13">
        <v>46236</v>
      </c>
      <c r="B215">
        <v>2026</v>
      </c>
      <c r="C215">
        <v>8</v>
      </c>
      <c r="D215" t="s">
        <v>375</v>
      </c>
      <c r="E215" t="s">
        <v>374</v>
      </c>
    </row>
    <row r="216" spans="1:5" x14ac:dyDescent="0.2">
      <c r="A216" s="13">
        <v>46237</v>
      </c>
      <c r="B216">
        <v>2026</v>
      </c>
      <c r="C216">
        <v>8</v>
      </c>
      <c r="D216" t="s">
        <v>375</v>
      </c>
      <c r="E216" t="s">
        <v>374</v>
      </c>
    </row>
    <row r="217" spans="1:5" x14ac:dyDescent="0.2">
      <c r="A217" s="13">
        <v>46238</v>
      </c>
      <c r="B217">
        <v>2026</v>
      </c>
      <c r="C217">
        <v>8</v>
      </c>
      <c r="D217" t="s">
        <v>375</v>
      </c>
      <c r="E217" t="s">
        <v>374</v>
      </c>
    </row>
    <row r="218" spans="1:5" x14ac:dyDescent="0.2">
      <c r="A218" s="13">
        <v>46239</v>
      </c>
      <c r="B218">
        <v>2026</v>
      </c>
      <c r="C218">
        <v>8</v>
      </c>
      <c r="D218" t="s">
        <v>375</v>
      </c>
      <c r="E218" t="s">
        <v>374</v>
      </c>
    </row>
    <row r="219" spans="1:5" x14ac:dyDescent="0.2">
      <c r="A219" s="13">
        <v>46240</v>
      </c>
      <c r="B219">
        <v>2026</v>
      </c>
      <c r="C219">
        <v>8</v>
      </c>
      <c r="D219" t="s">
        <v>375</v>
      </c>
      <c r="E219" t="s">
        <v>374</v>
      </c>
    </row>
    <row r="220" spans="1:5" x14ac:dyDescent="0.2">
      <c r="A220" s="13">
        <v>46241</v>
      </c>
      <c r="B220">
        <v>2026</v>
      </c>
      <c r="C220">
        <v>8</v>
      </c>
      <c r="D220" t="s">
        <v>375</v>
      </c>
      <c r="E220" t="s">
        <v>374</v>
      </c>
    </row>
    <row r="221" spans="1:5" x14ac:dyDescent="0.2">
      <c r="A221" s="13">
        <v>46242</v>
      </c>
      <c r="B221">
        <v>2026</v>
      </c>
      <c r="C221">
        <v>8</v>
      </c>
      <c r="D221" t="s">
        <v>375</v>
      </c>
      <c r="E221" t="s">
        <v>374</v>
      </c>
    </row>
    <row r="222" spans="1:5" x14ac:dyDescent="0.2">
      <c r="A222" s="13">
        <v>46243</v>
      </c>
      <c r="B222">
        <v>2026</v>
      </c>
      <c r="C222">
        <v>8</v>
      </c>
      <c r="D222" t="s">
        <v>375</v>
      </c>
      <c r="E222" t="s">
        <v>374</v>
      </c>
    </row>
    <row r="223" spans="1:5" x14ac:dyDescent="0.2">
      <c r="A223" s="13">
        <v>46244</v>
      </c>
      <c r="B223">
        <v>2026</v>
      </c>
      <c r="C223">
        <v>8</v>
      </c>
      <c r="D223" t="s">
        <v>375</v>
      </c>
      <c r="E223" t="s">
        <v>374</v>
      </c>
    </row>
    <row r="224" spans="1:5" x14ac:dyDescent="0.2">
      <c r="A224" s="13">
        <v>46245</v>
      </c>
      <c r="B224">
        <v>2026</v>
      </c>
      <c r="C224">
        <v>8</v>
      </c>
      <c r="D224" t="s">
        <v>375</v>
      </c>
      <c r="E224" t="s">
        <v>374</v>
      </c>
    </row>
    <row r="225" spans="1:5" x14ac:dyDescent="0.2">
      <c r="A225" s="13">
        <v>46246</v>
      </c>
      <c r="B225">
        <v>2026</v>
      </c>
      <c r="C225">
        <v>8</v>
      </c>
      <c r="D225" t="s">
        <v>375</v>
      </c>
      <c r="E225" t="s">
        <v>374</v>
      </c>
    </row>
    <row r="226" spans="1:5" x14ac:dyDescent="0.2">
      <c r="A226" s="13">
        <v>46247</v>
      </c>
      <c r="B226">
        <v>2026</v>
      </c>
      <c r="C226">
        <v>8</v>
      </c>
      <c r="D226" t="s">
        <v>375</v>
      </c>
      <c r="E226" t="s">
        <v>374</v>
      </c>
    </row>
    <row r="227" spans="1:5" x14ac:dyDescent="0.2">
      <c r="A227" s="13">
        <v>46248</v>
      </c>
      <c r="B227">
        <v>2026</v>
      </c>
      <c r="C227">
        <v>8</v>
      </c>
      <c r="D227" t="s">
        <v>375</v>
      </c>
      <c r="E227" t="s">
        <v>374</v>
      </c>
    </row>
    <row r="228" spans="1:5" x14ac:dyDescent="0.2">
      <c r="A228" s="13">
        <v>46249</v>
      </c>
      <c r="B228">
        <v>2026</v>
      </c>
      <c r="C228">
        <v>8</v>
      </c>
      <c r="D228" t="s">
        <v>375</v>
      </c>
      <c r="E228" t="s">
        <v>374</v>
      </c>
    </row>
    <row r="229" spans="1:5" x14ac:dyDescent="0.2">
      <c r="A229" s="13">
        <v>46250</v>
      </c>
      <c r="B229">
        <v>2026</v>
      </c>
      <c r="C229">
        <v>8</v>
      </c>
      <c r="D229" t="s">
        <v>375</v>
      </c>
      <c r="E229" t="s">
        <v>374</v>
      </c>
    </row>
    <row r="230" spans="1:5" x14ac:dyDescent="0.2">
      <c r="A230" s="13">
        <v>46251</v>
      </c>
      <c r="B230">
        <v>2026</v>
      </c>
      <c r="C230">
        <v>8</v>
      </c>
      <c r="D230" t="s">
        <v>375</v>
      </c>
      <c r="E230" t="s">
        <v>374</v>
      </c>
    </row>
    <row r="231" spans="1:5" x14ac:dyDescent="0.2">
      <c r="A231" s="13">
        <v>46252</v>
      </c>
      <c r="B231">
        <v>2026</v>
      </c>
      <c r="C231">
        <v>8</v>
      </c>
      <c r="D231" t="s">
        <v>375</v>
      </c>
      <c r="E231" t="s">
        <v>374</v>
      </c>
    </row>
    <row r="232" spans="1:5" x14ac:dyDescent="0.2">
      <c r="A232" s="13">
        <v>46253</v>
      </c>
      <c r="B232">
        <v>2026</v>
      </c>
      <c r="C232">
        <v>8</v>
      </c>
      <c r="D232" t="s">
        <v>375</v>
      </c>
      <c r="E232" t="s">
        <v>374</v>
      </c>
    </row>
    <row r="233" spans="1:5" x14ac:dyDescent="0.2">
      <c r="A233" s="13">
        <v>46254</v>
      </c>
      <c r="B233">
        <v>2026</v>
      </c>
      <c r="C233">
        <v>8</v>
      </c>
      <c r="D233" t="s">
        <v>375</v>
      </c>
      <c r="E233" t="s">
        <v>374</v>
      </c>
    </row>
    <row r="234" spans="1:5" x14ac:dyDescent="0.2">
      <c r="A234" s="13">
        <v>46255</v>
      </c>
      <c r="B234">
        <v>2026</v>
      </c>
      <c r="C234">
        <v>8</v>
      </c>
      <c r="D234" t="s">
        <v>375</v>
      </c>
      <c r="E234" t="s">
        <v>374</v>
      </c>
    </row>
    <row r="235" spans="1:5" x14ac:dyDescent="0.2">
      <c r="A235" s="13">
        <v>46256</v>
      </c>
      <c r="B235">
        <v>2026</v>
      </c>
      <c r="C235">
        <v>8</v>
      </c>
      <c r="D235" t="s">
        <v>375</v>
      </c>
      <c r="E235" t="s">
        <v>374</v>
      </c>
    </row>
    <row r="236" spans="1:5" x14ac:dyDescent="0.2">
      <c r="A236" s="13">
        <v>46257</v>
      </c>
      <c r="B236">
        <v>2026</v>
      </c>
      <c r="C236">
        <v>8</v>
      </c>
      <c r="D236" t="s">
        <v>375</v>
      </c>
      <c r="E236" t="s">
        <v>374</v>
      </c>
    </row>
    <row r="237" spans="1:5" x14ac:dyDescent="0.2">
      <c r="A237" s="13">
        <v>46258</v>
      </c>
      <c r="B237">
        <v>2026</v>
      </c>
      <c r="C237">
        <v>8</v>
      </c>
      <c r="D237" t="s">
        <v>375</v>
      </c>
      <c r="E237" t="s">
        <v>374</v>
      </c>
    </row>
    <row r="238" spans="1:5" x14ac:dyDescent="0.2">
      <c r="A238" s="13">
        <v>46259</v>
      </c>
      <c r="B238">
        <v>2026</v>
      </c>
      <c r="C238">
        <v>8</v>
      </c>
      <c r="D238" t="s">
        <v>375</v>
      </c>
      <c r="E238" t="s">
        <v>374</v>
      </c>
    </row>
    <row r="239" spans="1:5" x14ac:dyDescent="0.2">
      <c r="A239" s="13">
        <v>46260</v>
      </c>
      <c r="B239">
        <v>2026</v>
      </c>
      <c r="C239">
        <v>8</v>
      </c>
      <c r="D239" t="s">
        <v>375</v>
      </c>
      <c r="E239" t="s">
        <v>374</v>
      </c>
    </row>
    <row r="240" spans="1:5" x14ac:dyDescent="0.2">
      <c r="A240" s="13">
        <v>46261</v>
      </c>
      <c r="B240">
        <v>2026</v>
      </c>
      <c r="C240">
        <v>8</v>
      </c>
      <c r="D240" t="s">
        <v>375</v>
      </c>
      <c r="E240" t="s">
        <v>374</v>
      </c>
    </row>
    <row r="241" spans="1:5" x14ac:dyDescent="0.2">
      <c r="A241" s="13">
        <v>46262</v>
      </c>
      <c r="B241">
        <v>2026</v>
      </c>
      <c r="C241">
        <v>8</v>
      </c>
      <c r="D241" t="s">
        <v>375</v>
      </c>
      <c r="E241" t="s">
        <v>374</v>
      </c>
    </row>
    <row r="242" spans="1:5" x14ac:dyDescent="0.2">
      <c r="A242" s="13">
        <v>46263</v>
      </c>
      <c r="B242">
        <v>2026</v>
      </c>
      <c r="C242">
        <v>8</v>
      </c>
      <c r="D242" t="s">
        <v>375</v>
      </c>
      <c r="E242" t="s">
        <v>374</v>
      </c>
    </row>
    <row r="243" spans="1:5" x14ac:dyDescent="0.2">
      <c r="A243" s="13">
        <v>46264</v>
      </c>
      <c r="B243">
        <v>2026</v>
      </c>
      <c r="C243">
        <v>8</v>
      </c>
      <c r="D243" t="s">
        <v>375</v>
      </c>
      <c r="E243" t="s">
        <v>374</v>
      </c>
    </row>
    <row r="244" spans="1:5" x14ac:dyDescent="0.2">
      <c r="A244" s="13">
        <v>46265</v>
      </c>
      <c r="B244">
        <v>2026</v>
      </c>
      <c r="C244">
        <v>8</v>
      </c>
      <c r="D244" t="s">
        <v>375</v>
      </c>
      <c r="E244" t="s">
        <v>374</v>
      </c>
    </row>
    <row r="245" spans="1:5" x14ac:dyDescent="0.2">
      <c r="A245" s="13">
        <v>46266</v>
      </c>
      <c r="B245">
        <v>2026</v>
      </c>
      <c r="C245">
        <v>9</v>
      </c>
      <c r="D245" t="s">
        <v>376</v>
      </c>
      <c r="E245" t="s">
        <v>374</v>
      </c>
    </row>
    <row r="246" spans="1:5" x14ac:dyDescent="0.2">
      <c r="A246" s="13">
        <v>46267</v>
      </c>
      <c r="B246">
        <v>2026</v>
      </c>
      <c r="C246">
        <v>9</v>
      </c>
      <c r="D246" t="s">
        <v>376</v>
      </c>
      <c r="E246" t="s">
        <v>374</v>
      </c>
    </row>
    <row r="247" spans="1:5" x14ac:dyDescent="0.2">
      <c r="A247" s="13">
        <v>46268</v>
      </c>
      <c r="B247">
        <v>2026</v>
      </c>
      <c r="C247">
        <v>9</v>
      </c>
      <c r="D247" t="s">
        <v>376</v>
      </c>
      <c r="E247" t="s">
        <v>374</v>
      </c>
    </row>
    <row r="248" spans="1:5" x14ac:dyDescent="0.2">
      <c r="A248" s="13">
        <v>46269</v>
      </c>
      <c r="B248">
        <v>2026</v>
      </c>
      <c r="C248">
        <v>9</v>
      </c>
      <c r="D248" t="s">
        <v>376</v>
      </c>
      <c r="E248" t="s">
        <v>374</v>
      </c>
    </row>
    <row r="249" spans="1:5" x14ac:dyDescent="0.2">
      <c r="A249" s="13">
        <v>46270</v>
      </c>
      <c r="B249">
        <v>2026</v>
      </c>
      <c r="C249">
        <v>9</v>
      </c>
      <c r="D249" t="s">
        <v>376</v>
      </c>
      <c r="E249" t="s">
        <v>374</v>
      </c>
    </row>
    <row r="250" spans="1:5" x14ac:dyDescent="0.2">
      <c r="A250" s="13">
        <v>46271</v>
      </c>
      <c r="B250">
        <v>2026</v>
      </c>
      <c r="C250">
        <v>9</v>
      </c>
      <c r="D250" t="s">
        <v>376</v>
      </c>
      <c r="E250" t="s">
        <v>374</v>
      </c>
    </row>
    <row r="251" spans="1:5" x14ac:dyDescent="0.2">
      <c r="A251" s="13">
        <v>46272</v>
      </c>
      <c r="B251">
        <v>2026</v>
      </c>
      <c r="C251">
        <v>9</v>
      </c>
      <c r="D251" t="s">
        <v>376</v>
      </c>
      <c r="E251" t="s">
        <v>374</v>
      </c>
    </row>
    <row r="252" spans="1:5" x14ac:dyDescent="0.2">
      <c r="A252" s="13">
        <v>46273</v>
      </c>
      <c r="B252">
        <v>2026</v>
      </c>
      <c r="C252">
        <v>9</v>
      </c>
      <c r="D252" t="s">
        <v>376</v>
      </c>
      <c r="E252" t="s">
        <v>374</v>
      </c>
    </row>
    <row r="253" spans="1:5" x14ac:dyDescent="0.2">
      <c r="A253" s="13">
        <v>46274</v>
      </c>
      <c r="B253">
        <v>2026</v>
      </c>
      <c r="C253">
        <v>9</v>
      </c>
      <c r="D253" t="s">
        <v>376</v>
      </c>
      <c r="E253" t="s">
        <v>374</v>
      </c>
    </row>
    <row r="254" spans="1:5" x14ac:dyDescent="0.2">
      <c r="A254" s="13">
        <v>46275</v>
      </c>
      <c r="B254">
        <v>2026</v>
      </c>
      <c r="C254">
        <v>9</v>
      </c>
      <c r="D254" t="s">
        <v>376</v>
      </c>
      <c r="E254" t="s">
        <v>374</v>
      </c>
    </row>
    <row r="255" spans="1:5" x14ac:dyDescent="0.2">
      <c r="A255" s="13">
        <v>46276</v>
      </c>
      <c r="B255">
        <v>2026</v>
      </c>
      <c r="C255">
        <v>9</v>
      </c>
      <c r="D255" t="s">
        <v>376</v>
      </c>
      <c r="E255" t="s">
        <v>374</v>
      </c>
    </row>
    <row r="256" spans="1:5" x14ac:dyDescent="0.2">
      <c r="A256" s="13">
        <v>46277</v>
      </c>
      <c r="B256">
        <v>2026</v>
      </c>
      <c r="C256">
        <v>9</v>
      </c>
      <c r="D256" t="s">
        <v>376</v>
      </c>
      <c r="E256" t="s">
        <v>374</v>
      </c>
    </row>
    <row r="257" spans="1:5" x14ac:dyDescent="0.2">
      <c r="A257" s="13">
        <v>46278</v>
      </c>
      <c r="B257">
        <v>2026</v>
      </c>
      <c r="C257">
        <v>9</v>
      </c>
      <c r="D257" t="s">
        <v>376</v>
      </c>
      <c r="E257" t="s">
        <v>374</v>
      </c>
    </row>
    <row r="258" spans="1:5" x14ac:dyDescent="0.2">
      <c r="A258" s="13">
        <v>46279</v>
      </c>
      <c r="B258">
        <v>2026</v>
      </c>
      <c r="C258">
        <v>9</v>
      </c>
      <c r="D258" t="s">
        <v>376</v>
      </c>
      <c r="E258" t="s">
        <v>374</v>
      </c>
    </row>
    <row r="259" spans="1:5" x14ac:dyDescent="0.2">
      <c r="A259" s="13">
        <v>46280</v>
      </c>
      <c r="B259">
        <v>2026</v>
      </c>
      <c r="C259">
        <v>9</v>
      </c>
      <c r="D259" t="s">
        <v>376</v>
      </c>
      <c r="E259" t="s">
        <v>374</v>
      </c>
    </row>
    <row r="260" spans="1:5" x14ac:dyDescent="0.2">
      <c r="A260" s="13">
        <v>46281</v>
      </c>
      <c r="B260">
        <v>2026</v>
      </c>
      <c r="C260">
        <v>9</v>
      </c>
      <c r="D260" t="s">
        <v>376</v>
      </c>
      <c r="E260" t="s">
        <v>374</v>
      </c>
    </row>
    <row r="261" spans="1:5" x14ac:dyDescent="0.2">
      <c r="A261" s="13">
        <v>46282</v>
      </c>
      <c r="B261">
        <v>2026</v>
      </c>
      <c r="C261">
        <v>9</v>
      </c>
      <c r="D261" t="s">
        <v>376</v>
      </c>
      <c r="E261" t="s">
        <v>374</v>
      </c>
    </row>
    <row r="262" spans="1:5" x14ac:dyDescent="0.2">
      <c r="A262" s="13">
        <v>46283</v>
      </c>
      <c r="B262">
        <v>2026</v>
      </c>
      <c r="C262">
        <v>9</v>
      </c>
      <c r="D262" t="s">
        <v>376</v>
      </c>
      <c r="E262" t="s">
        <v>374</v>
      </c>
    </row>
    <row r="263" spans="1:5" x14ac:dyDescent="0.2">
      <c r="A263" s="13">
        <v>46284</v>
      </c>
      <c r="B263">
        <v>2026</v>
      </c>
      <c r="C263">
        <v>9</v>
      </c>
      <c r="D263" t="s">
        <v>376</v>
      </c>
      <c r="E263" t="s">
        <v>374</v>
      </c>
    </row>
    <row r="264" spans="1:5" x14ac:dyDescent="0.2">
      <c r="A264" s="13">
        <v>46285</v>
      </c>
      <c r="B264">
        <v>2026</v>
      </c>
      <c r="C264">
        <v>9</v>
      </c>
      <c r="D264" t="s">
        <v>376</v>
      </c>
      <c r="E264" t="s">
        <v>374</v>
      </c>
    </row>
    <row r="265" spans="1:5" x14ac:dyDescent="0.2">
      <c r="A265" s="13">
        <v>46286</v>
      </c>
      <c r="B265">
        <v>2026</v>
      </c>
      <c r="C265">
        <v>9</v>
      </c>
      <c r="D265" t="s">
        <v>376</v>
      </c>
      <c r="E265" t="s">
        <v>374</v>
      </c>
    </row>
    <row r="266" spans="1:5" x14ac:dyDescent="0.2">
      <c r="A266" s="13">
        <v>46287</v>
      </c>
      <c r="B266">
        <v>2026</v>
      </c>
      <c r="C266">
        <v>9</v>
      </c>
      <c r="D266" t="s">
        <v>376</v>
      </c>
      <c r="E266" t="s">
        <v>374</v>
      </c>
    </row>
    <row r="267" spans="1:5" x14ac:dyDescent="0.2">
      <c r="A267" s="13">
        <v>46288</v>
      </c>
      <c r="B267">
        <v>2026</v>
      </c>
      <c r="C267">
        <v>9</v>
      </c>
      <c r="D267" t="s">
        <v>376</v>
      </c>
      <c r="E267" t="s">
        <v>374</v>
      </c>
    </row>
    <row r="268" spans="1:5" x14ac:dyDescent="0.2">
      <c r="A268" s="13">
        <v>46289</v>
      </c>
      <c r="B268">
        <v>2026</v>
      </c>
      <c r="C268">
        <v>9</v>
      </c>
      <c r="D268" t="s">
        <v>376</v>
      </c>
      <c r="E268" t="s">
        <v>374</v>
      </c>
    </row>
    <row r="269" spans="1:5" x14ac:dyDescent="0.2">
      <c r="A269" s="13">
        <v>46290</v>
      </c>
      <c r="B269">
        <v>2026</v>
      </c>
      <c r="C269">
        <v>9</v>
      </c>
      <c r="D269" t="s">
        <v>376</v>
      </c>
      <c r="E269" t="s">
        <v>374</v>
      </c>
    </row>
    <row r="270" spans="1:5" x14ac:dyDescent="0.2">
      <c r="A270" s="13">
        <v>46291</v>
      </c>
      <c r="B270">
        <v>2026</v>
      </c>
      <c r="C270">
        <v>9</v>
      </c>
      <c r="D270" t="s">
        <v>376</v>
      </c>
      <c r="E270" t="s">
        <v>374</v>
      </c>
    </row>
    <row r="271" spans="1:5" x14ac:dyDescent="0.2">
      <c r="A271" s="13">
        <v>46292</v>
      </c>
      <c r="B271">
        <v>2026</v>
      </c>
      <c r="C271">
        <v>9</v>
      </c>
      <c r="D271" t="s">
        <v>376</v>
      </c>
      <c r="E271" t="s">
        <v>374</v>
      </c>
    </row>
    <row r="272" spans="1:5" x14ac:dyDescent="0.2">
      <c r="A272" s="13">
        <v>46293</v>
      </c>
      <c r="B272">
        <v>2026</v>
      </c>
      <c r="C272">
        <v>9</v>
      </c>
      <c r="D272" t="s">
        <v>376</v>
      </c>
      <c r="E272" t="s">
        <v>374</v>
      </c>
    </row>
    <row r="273" spans="1:5" x14ac:dyDescent="0.2">
      <c r="A273" s="13">
        <v>46294</v>
      </c>
      <c r="B273">
        <v>2026</v>
      </c>
      <c r="C273">
        <v>9</v>
      </c>
      <c r="D273" t="s">
        <v>376</v>
      </c>
      <c r="E273" t="s">
        <v>374</v>
      </c>
    </row>
    <row r="274" spans="1:5" x14ac:dyDescent="0.2">
      <c r="A274" s="13">
        <v>46295</v>
      </c>
      <c r="B274">
        <v>2026</v>
      </c>
      <c r="C274">
        <v>9</v>
      </c>
      <c r="D274" t="s">
        <v>376</v>
      </c>
      <c r="E274" t="s">
        <v>374</v>
      </c>
    </row>
    <row r="275" spans="1:5" x14ac:dyDescent="0.2">
      <c r="A275" s="13">
        <v>46296</v>
      </c>
      <c r="B275">
        <v>2026</v>
      </c>
      <c r="C275">
        <v>10</v>
      </c>
      <c r="D275" t="s">
        <v>377</v>
      </c>
      <c r="E275" t="s">
        <v>378</v>
      </c>
    </row>
    <row r="276" spans="1:5" x14ac:dyDescent="0.2">
      <c r="A276" s="13">
        <v>46297</v>
      </c>
      <c r="B276">
        <v>2026</v>
      </c>
      <c r="C276">
        <v>10</v>
      </c>
      <c r="D276" t="s">
        <v>377</v>
      </c>
      <c r="E276" t="s">
        <v>378</v>
      </c>
    </row>
    <row r="277" spans="1:5" x14ac:dyDescent="0.2">
      <c r="A277" s="13">
        <v>46298</v>
      </c>
      <c r="B277">
        <v>2026</v>
      </c>
      <c r="C277">
        <v>10</v>
      </c>
      <c r="D277" t="s">
        <v>377</v>
      </c>
      <c r="E277" t="s">
        <v>378</v>
      </c>
    </row>
    <row r="278" spans="1:5" x14ac:dyDescent="0.2">
      <c r="A278" s="13">
        <v>46299</v>
      </c>
      <c r="B278">
        <v>2026</v>
      </c>
      <c r="C278">
        <v>10</v>
      </c>
      <c r="D278" t="s">
        <v>377</v>
      </c>
      <c r="E278" t="s">
        <v>378</v>
      </c>
    </row>
    <row r="279" spans="1:5" x14ac:dyDescent="0.2">
      <c r="A279" s="13">
        <v>46300</v>
      </c>
      <c r="B279">
        <v>2026</v>
      </c>
      <c r="C279">
        <v>10</v>
      </c>
      <c r="D279" t="s">
        <v>377</v>
      </c>
      <c r="E279" t="s">
        <v>378</v>
      </c>
    </row>
    <row r="280" spans="1:5" x14ac:dyDescent="0.2">
      <c r="A280" s="13">
        <v>46301</v>
      </c>
      <c r="B280">
        <v>2026</v>
      </c>
      <c r="C280">
        <v>10</v>
      </c>
      <c r="D280" t="s">
        <v>377</v>
      </c>
      <c r="E280" t="s">
        <v>378</v>
      </c>
    </row>
    <row r="281" spans="1:5" x14ac:dyDescent="0.2">
      <c r="A281" s="13">
        <v>46302</v>
      </c>
      <c r="B281">
        <v>2026</v>
      </c>
      <c r="C281">
        <v>10</v>
      </c>
      <c r="D281" t="s">
        <v>377</v>
      </c>
      <c r="E281" t="s">
        <v>378</v>
      </c>
    </row>
    <row r="282" spans="1:5" x14ac:dyDescent="0.2">
      <c r="A282" s="13">
        <v>46303</v>
      </c>
      <c r="B282">
        <v>2026</v>
      </c>
      <c r="C282">
        <v>10</v>
      </c>
      <c r="D282" t="s">
        <v>377</v>
      </c>
      <c r="E282" t="s">
        <v>378</v>
      </c>
    </row>
    <row r="283" spans="1:5" x14ac:dyDescent="0.2">
      <c r="A283" s="13">
        <v>46304</v>
      </c>
      <c r="B283">
        <v>2026</v>
      </c>
      <c r="C283">
        <v>10</v>
      </c>
      <c r="D283" t="s">
        <v>377</v>
      </c>
      <c r="E283" t="s">
        <v>378</v>
      </c>
    </row>
    <row r="284" spans="1:5" x14ac:dyDescent="0.2">
      <c r="A284" s="13">
        <v>46305</v>
      </c>
      <c r="B284">
        <v>2026</v>
      </c>
      <c r="C284">
        <v>10</v>
      </c>
      <c r="D284" t="s">
        <v>377</v>
      </c>
      <c r="E284" t="s">
        <v>378</v>
      </c>
    </row>
    <row r="285" spans="1:5" x14ac:dyDescent="0.2">
      <c r="A285" s="13">
        <v>46306</v>
      </c>
      <c r="B285">
        <v>2026</v>
      </c>
      <c r="C285">
        <v>10</v>
      </c>
      <c r="D285" t="s">
        <v>377</v>
      </c>
      <c r="E285" t="s">
        <v>378</v>
      </c>
    </row>
    <row r="286" spans="1:5" x14ac:dyDescent="0.2">
      <c r="A286" s="13">
        <v>46307</v>
      </c>
      <c r="B286">
        <v>2026</v>
      </c>
      <c r="C286">
        <v>10</v>
      </c>
      <c r="D286" t="s">
        <v>377</v>
      </c>
      <c r="E286" t="s">
        <v>378</v>
      </c>
    </row>
    <row r="287" spans="1:5" x14ac:dyDescent="0.2">
      <c r="A287" s="13">
        <v>46308</v>
      </c>
      <c r="B287">
        <v>2026</v>
      </c>
      <c r="C287">
        <v>10</v>
      </c>
      <c r="D287" t="s">
        <v>377</v>
      </c>
      <c r="E287" t="s">
        <v>378</v>
      </c>
    </row>
    <row r="288" spans="1:5" x14ac:dyDescent="0.2">
      <c r="A288" s="13">
        <v>46309</v>
      </c>
      <c r="B288">
        <v>2026</v>
      </c>
      <c r="C288">
        <v>10</v>
      </c>
      <c r="D288" t="s">
        <v>377</v>
      </c>
      <c r="E288" t="s">
        <v>378</v>
      </c>
    </row>
    <row r="289" spans="1:5" x14ac:dyDescent="0.2">
      <c r="A289" s="13">
        <v>46310</v>
      </c>
      <c r="B289">
        <v>2026</v>
      </c>
      <c r="C289">
        <v>10</v>
      </c>
      <c r="D289" t="s">
        <v>377</v>
      </c>
      <c r="E289" t="s">
        <v>378</v>
      </c>
    </row>
    <row r="290" spans="1:5" x14ac:dyDescent="0.2">
      <c r="A290" s="13">
        <v>46311</v>
      </c>
      <c r="B290">
        <v>2026</v>
      </c>
      <c r="C290">
        <v>10</v>
      </c>
      <c r="D290" t="s">
        <v>377</v>
      </c>
      <c r="E290" t="s">
        <v>378</v>
      </c>
    </row>
    <row r="291" spans="1:5" x14ac:dyDescent="0.2">
      <c r="A291" s="13">
        <v>46312</v>
      </c>
      <c r="B291">
        <v>2026</v>
      </c>
      <c r="C291">
        <v>10</v>
      </c>
      <c r="D291" t="s">
        <v>377</v>
      </c>
      <c r="E291" t="s">
        <v>378</v>
      </c>
    </row>
    <row r="292" spans="1:5" x14ac:dyDescent="0.2">
      <c r="A292" s="13">
        <v>46313</v>
      </c>
      <c r="B292">
        <v>2026</v>
      </c>
      <c r="C292">
        <v>10</v>
      </c>
      <c r="D292" t="s">
        <v>377</v>
      </c>
      <c r="E292" t="s">
        <v>378</v>
      </c>
    </row>
    <row r="293" spans="1:5" x14ac:dyDescent="0.2">
      <c r="A293" s="13">
        <v>46314</v>
      </c>
      <c r="B293">
        <v>2026</v>
      </c>
      <c r="C293">
        <v>10</v>
      </c>
      <c r="D293" t="s">
        <v>377</v>
      </c>
      <c r="E293" t="s">
        <v>378</v>
      </c>
    </row>
    <row r="294" spans="1:5" x14ac:dyDescent="0.2">
      <c r="A294" s="13">
        <v>46315</v>
      </c>
      <c r="B294">
        <v>2026</v>
      </c>
      <c r="C294">
        <v>10</v>
      </c>
      <c r="D294" t="s">
        <v>377</v>
      </c>
      <c r="E294" t="s">
        <v>378</v>
      </c>
    </row>
    <row r="295" spans="1:5" x14ac:dyDescent="0.2">
      <c r="A295" s="13">
        <v>46316</v>
      </c>
      <c r="B295">
        <v>2026</v>
      </c>
      <c r="C295">
        <v>10</v>
      </c>
      <c r="D295" t="s">
        <v>377</v>
      </c>
      <c r="E295" t="s">
        <v>378</v>
      </c>
    </row>
    <row r="296" spans="1:5" x14ac:dyDescent="0.2">
      <c r="A296" s="13">
        <v>46317</v>
      </c>
      <c r="B296">
        <v>2026</v>
      </c>
      <c r="C296">
        <v>10</v>
      </c>
      <c r="D296" t="s">
        <v>377</v>
      </c>
      <c r="E296" t="s">
        <v>378</v>
      </c>
    </row>
    <row r="297" spans="1:5" x14ac:dyDescent="0.2">
      <c r="A297" s="13">
        <v>46318</v>
      </c>
      <c r="B297">
        <v>2026</v>
      </c>
      <c r="C297">
        <v>10</v>
      </c>
      <c r="D297" t="s">
        <v>377</v>
      </c>
      <c r="E297" t="s">
        <v>378</v>
      </c>
    </row>
    <row r="298" spans="1:5" x14ac:dyDescent="0.2">
      <c r="A298" s="13">
        <v>46319</v>
      </c>
      <c r="B298">
        <v>2026</v>
      </c>
      <c r="C298">
        <v>10</v>
      </c>
      <c r="D298" t="s">
        <v>377</v>
      </c>
      <c r="E298" t="s">
        <v>378</v>
      </c>
    </row>
    <row r="299" spans="1:5" x14ac:dyDescent="0.2">
      <c r="A299" s="13">
        <v>46320</v>
      </c>
      <c r="B299">
        <v>2026</v>
      </c>
      <c r="C299">
        <v>10</v>
      </c>
      <c r="D299" t="s">
        <v>377</v>
      </c>
      <c r="E299" t="s">
        <v>378</v>
      </c>
    </row>
    <row r="300" spans="1:5" x14ac:dyDescent="0.2">
      <c r="A300" s="13">
        <v>46321</v>
      </c>
      <c r="B300">
        <v>2026</v>
      </c>
      <c r="C300">
        <v>10</v>
      </c>
      <c r="D300" t="s">
        <v>377</v>
      </c>
      <c r="E300" t="s">
        <v>378</v>
      </c>
    </row>
    <row r="301" spans="1:5" x14ac:dyDescent="0.2">
      <c r="A301" s="13">
        <v>46322</v>
      </c>
      <c r="B301">
        <v>2026</v>
      </c>
      <c r="C301">
        <v>10</v>
      </c>
      <c r="D301" t="s">
        <v>377</v>
      </c>
      <c r="E301" t="s">
        <v>378</v>
      </c>
    </row>
    <row r="302" spans="1:5" x14ac:dyDescent="0.2">
      <c r="A302" s="13">
        <v>46323</v>
      </c>
      <c r="B302">
        <v>2026</v>
      </c>
      <c r="C302">
        <v>10</v>
      </c>
      <c r="D302" t="s">
        <v>377</v>
      </c>
      <c r="E302" t="s">
        <v>378</v>
      </c>
    </row>
    <row r="303" spans="1:5" x14ac:dyDescent="0.2">
      <c r="A303" s="13">
        <v>46324</v>
      </c>
      <c r="B303">
        <v>2026</v>
      </c>
      <c r="C303">
        <v>10</v>
      </c>
      <c r="D303" t="s">
        <v>377</v>
      </c>
      <c r="E303" t="s">
        <v>378</v>
      </c>
    </row>
    <row r="304" spans="1:5" x14ac:dyDescent="0.2">
      <c r="A304" s="13">
        <v>46325</v>
      </c>
      <c r="B304">
        <v>2026</v>
      </c>
      <c r="C304">
        <v>10</v>
      </c>
      <c r="D304" t="s">
        <v>377</v>
      </c>
      <c r="E304" t="s">
        <v>378</v>
      </c>
    </row>
    <row r="305" spans="1:5" x14ac:dyDescent="0.2">
      <c r="A305" s="13">
        <v>46326</v>
      </c>
      <c r="B305">
        <v>2026</v>
      </c>
      <c r="C305">
        <v>10</v>
      </c>
      <c r="D305" t="s">
        <v>377</v>
      </c>
      <c r="E305" t="s">
        <v>378</v>
      </c>
    </row>
    <row r="306" spans="1:5" x14ac:dyDescent="0.2">
      <c r="A306" s="13">
        <v>46327</v>
      </c>
      <c r="B306">
        <v>2026</v>
      </c>
      <c r="C306">
        <v>11</v>
      </c>
      <c r="D306" t="s">
        <v>379</v>
      </c>
      <c r="E306" t="s">
        <v>378</v>
      </c>
    </row>
    <row r="307" spans="1:5" x14ac:dyDescent="0.2">
      <c r="A307" s="13">
        <v>46328</v>
      </c>
      <c r="B307">
        <v>2026</v>
      </c>
      <c r="C307">
        <v>11</v>
      </c>
      <c r="D307" t="s">
        <v>379</v>
      </c>
      <c r="E307" t="s">
        <v>378</v>
      </c>
    </row>
    <row r="308" spans="1:5" x14ac:dyDescent="0.2">
      <c r="A308" s="13">
        <v>46329</v>
      </c>
      <c r="B308">
        <v>2026</v>
      </c>
      <c r="C308">
        <v>11</v>
      </c>
      <c r="D308" t="s">
        <v>379</v>
      </c>
      <c r="E308" t="s">
        <v>378</v>
      </c>
    </row>
    <row r="309" spans="1:5" x14ac:dyDescent="0.2">
      <c r="A309" s="13">
        <v>46330</v>
      </c>
      <c r="B309">
        <v>2026</v>
      </c>
      <c r="C309">
        <v>11</v>
      </c>
      <c r="D309" t="s">
        <v>379</v>
      </c>
      <c r="E309" t="s">
        <v>378</v>
      </c>
    </row>
    <row r="310" spans="1:5" x14ac:dyDescent="0.2">
      <c r="A310" s="13">
        <v>46331</v>
      </c>
      <c r="B310">
        <v>2026</v>
      </c>
      <c r="C310">
        <v>11</v>
      </c>
      <c r="D310" t="s">
        <v>379</v>
      </c>
      <c r="E310" t="s">
        <v>378</v>
      </c>
    </row>
    <row r="311" spans="1:5" x14ac:dyDescent="0.2">
      <c r="A311" s="13">
        <v>46332</v>
      </c>
      <c r="B311">
        <v>2026</v>
      </c>
      <c r="C311">
        <v>11</v>
      </c>
      <c r="D311" t="s">
        <v>379</v>
      </c>
      <c r="E311" t="s">
        <v>378</v>
      </c>
    </row>
    <row r="312" spans="1:5" x14ac:dyDescent="0.2">
      <c r="A312" s="13">
        <v>46333</v>
      </c>
      <c r="B312">
        <v>2026</v>
      </c>
      <c r="C312">
        <v>11</v>
      </c>
      <c r="D312" t="s">
        <v>379</v>
      </c>
      <c r="E312" t="s">
        <v>378</v>
      </c>
    </row>
    <row r="313" spans="1:5" x14ac:dyDescent="0.2">
      <c r="A313" s="13">
        <v>46334</v>
      </c>
      <c r="B313">
        <v>2026</v>
      </c>
      <c r="C313">
        <v>11</v>
      </c>
      <c r="D313" t="s">
        <v>379</v>
      </c>
      <c r="E313" t="s">
        <v>378</v>
      </c>
    </row>
    <row r="314" spans="1:5" x14ac:dyDescent="0.2">
      <c r="A314" s="13">
        <v>46335</v>
      </c>
      <c r="B314">
        <v>2026</v>
      </c>
      <c r="C314">
        <v>11</v>
      </c>
      <c r="D314" t="s">
        <v>379</v>
      </c>
      <c r="E314" t="s">
        <v>378</v>
      </c>
    </row>
    <row r="315" spans="1:5" x14ac:dyDescent="0.2">
      <c r="A315" s="13">
        <v>46336</v>
      </c>
      <c r="B315">
        <v>2026</v>
      </c>
      <c r="C315">
        <v>11</v>
      </c>
      <c r="D315" t="s">
        <v>379</v>
      </c>
      <c r="E315" t="s">
        <v>378</v>
      </c>
    </row>
    <row r="316" spans="1:5" x14ac:dyDescent="0.2">
      <c r="A316" s="13">
        <v>46337</v>
      </c>
      <c r="B316">
        <v>2026</v>
      </c>
      <c r="C316">
        <v>11</v>
      </c>
      <c r="D316" t="s">
        <v>379</v>
      </c>
      <c r="E316" t="s">
        <v>378</v>
      </c>
    </row>
    <row r="317" spans="1:5" x14ac:dyDescent="0.2">
      <c r="A317" s="13">
        <v>46338</v>
      </c>
      <c r="B317">
        <v>2026</v>
      </c>
      <c r="C317">
        <v>11</v>
      </c>
      <c r="D317" t="s">
        <v>379</v>
      </c>
      <c r="E317" t="s">
        <v>378</v>
      </c>
    </row>
    <row r="318" spans="1:5" x14ac:dyDescent="0.2">
      <c r="A318" s="13">
        <v>46339</v>
      </c>
      <c r="B318">
        <v>2026</v>
      </c>
      <c r="C318">
        <v>11</v>
      </c>
      <c r="D318" t="s">
        <v>379</v>
      </c>
      <c r="E318" t="s">
        <v>378</v>
      </c>
    </row>
    <row r="319" spans="1:5" x14ac:dyDescent="0.2">
      <c r="A319" s="13">
        <v>46340</v>
      </c>
      <c r="B319">
        <v>2026</v>
      </c>
      <c r="C319">
        <v>11</v>
      </c>
      <c r="D319" t="s">
        <v>379</v>
      </c>
      <c r="E319" t="s">
        <v>378</v>
      </c>
    </row>
    <row r="320" spans="1:5" x14ac:dyDescent="0.2">
      <c r="A320" s="13">
        <v>46341</v>
      </c>
      <c r="B320">
        <v>2026</v>
      </c>
      <c r="C320">
        <v>11</v>
      </c>
      <c r="D320" t="s">
        <v>379</v>
      </c>
      <c r="E320" t="s">
        <v>378</v>
      </c>
    </row>
    <row r="321" spans="1:5" x14ac:dyDescent="0.2">
      <c r="A321" s="13">
        <v>46342</v>
      </c>
      <c r="B321">
        <v>2026</v>
      </c>
      <c r="C321">
        <v>11</v>
      </c>
      <c r="D321" t="s">
        <v>379</v>
      </c>
      <c r="E321" t="s">
        <v>378</v>
      </c>
    </row>
    <row r="322" spans="1:5" x14ac:dyDescent="0.2">
      <c r="A322" s="13">
        <v>46343</v>
      </c>
      <c r="B322">
        <v>2026</v>
      </c>
      <c r="C322">
        <v>11</v>
      </c>
      <c r="D322" t="s">
        <v>379</v>
      </c>
      <c r="E322" t="s">
        <v>378</v>
      </c>
    </row>
    <row r="323" spans="1:5" x14ac:dyDescent="0.2">
      <c r="A323" s="13">
        <v>46344</v>
      </c>
      <c r="B323">
        <v>2026</v>
      </c>
      <c r="C323">
        <v>11</v>
      </c>
      <c r="D323" t="s">
        <v>379</v>
      </c>
      <c r="E323" t="s">
        <v>378</v>
      </c>
    </row>
    <row r="324" spans="1:5" x14ac:dyDescent="0.2">
      <c r="A324" s="13">
        <v>46345</v>
      </c>
      <c r="B324">
        <v>2026</v>
      </c>
      <c r="C324">
        <v>11</v>
      </c>
      <c r="D324" t="s">
        <v>379</v>
      </c>
      <c r="E324" t="s">
        <v>378</v>
      </c>
    </row>
    <row r="325" spans="1:5" x14ac:dyDescent="0.2">
      <c r="A325" s="13">
        <v>46346</v>
      </c>
      <c r="B325">
        <v>2026</v>
      </c>
      <c r="C325">
        <v>11</v>
      </c>
      <c r="D325" t="s">
        <v>379</v>
      </c>
      <c r="E325" t="s">
        <v>378</v>
      </c>
    </row>
    <row r="326" spans="1:5" x14ac:dyDescent="0.2">
      <c r="A326" s="13">
        <v>46347</v>
      </c>
      <c r="B326">
        <v>2026</v>
      </c>
      <c r="C326">
        <v>11</v>
      </c>
      <c r="D326" t="s">
        <v>379</v>
      </c>
      <c r="E326" t="s">
        <v>378</v>
      </c>
    </row>
    <row r="327" spans="1:5" x14ac:dyDescent="0.2">
      <c r="A327" s="13">
        <v>46348</v>
      </c>
      <c r="B327">
        <v>2026</v>
      </c>
      <c r="C327">
        <v>11</v>
      </c>
      <c r="D327" t="s">
        <v>379</v>
      </c>
      <c r="E327" t="s">
        <v>378</v>
      </c>
    </row>
    <row r="328" spans="1:5" x14ac:dyDescent="0.2">
      <c r="A328" s="13">
        <v>46349</v>
      </c>
      <c r="B328">
        <v>2026</v>
      </c>
      <c r="C328">
        <v>11</v>
      </c>
      <c r="D328" t="s">
        <v>379</v>
      </c>
      <c r="E328" t="s">
        <v>378</v>
      </c>
    </row>
    <row r="329" spans="1:5" x14ac:dyDescent="0.2">
      <c r="A329" s="13">
        <v>46350</v>
      </c>
      <c r="B329">
        <v>2026</v>
      </c>
      <c r="C329">
        <v>11</v>
      </c>
      <c r="D329" t="s">
        <v>379</v>
      </c>
      <c r="E329" t="s">
        <v>378</v>
      </c>
    </row>
    <row r="330" spans="1:5" x14ac:dyDescent="0.2">
      <c r="A330" s="13">
        <v>46351</v>
      </c>
      <c r="B330">
        <v>2026</v>
      </c>
      <c r="C330">
        <v>11</v>
      </c>
      <c r="D330" t="s">
        <v>379</v>
      </c>
      <c r="E330" t="s">
        <v>378</v>
      </c>
    </row>
    <row r="331" spans="1:5" x14ac:dyDescent="0.2">
      <c r="A331" s="13">
        <v>46352</v>
      </c>
      <c r="B331">
        <v>2026</v>
      </c>
      <c r="C331">
        <v>11</v>
      </c>
      <c r="D331" t="s">
        <v>379</v>
      </c>
      <c r="E331" t="s">
        <v>378</v>
      </c>
    </row>
    <row r="332" spans="1:5" x14ac:dyDescent="0.2">
      <c r="A332" s="13">
        <v>46353</v>
      </c>
      <c r="B332">
        <v>2026</v>
      </c>
      <c r="C332">
        <v>11</v>
      </c>
      <c r="D332" t="s">
        <v>379</v>
      </c>
      <c r="E332" t="s">
        <v>378</v>
      </c>
    </row>
    <row r="333" spans="1:5" x14ac:dyDescent="0.2">
      <c r="A333" s="13">
        <v>46354</v>
      </c>
      <c r="B333">
        <v>2026</v>
      </c>
      <c r="C333">
        <v>11</v>
      </c>
      <c r="D333" t="s">
        <v>379</v>
      </c>
      <c r="E333" t="s">
        <v>378</v>
      </c>
    </row>
    <row r="334" spans="1:5" x14ac:dyDescent="0.2">
      <c r="A334" s="13">
        <v>46355</v>
      </c>
      <c r="B334">
        <v>2026</v>
      </c>
      <c r="C334">
        <v>11</v>
      </c>
      <c r="D334" t="s">
        <v>379</v>
      </c>
      <c r="E334" t="s">
        <v>378</v>
      </c>
    </row>
    <row r="335" spans="1:5" x14ac:dyDescent="0.2">
      <c r="A335" s="13">
        <v>46356</v>
      </c>
      <c r="B335">
        <v>2026</v>
      </c>
      <c r="C335">
        <v>11</v>
      </c>
      <c r="D335" t="s">
        <v>379</v>
      </c>
      <c r="E335" t="s">
        <v>378</v>
      </c>
    </row>
    <row r="336" spans="1:5" x14ac:dyDescent="0.2">
      <c r="A336" s="13">
        <v>46357</v>
      </c>
      <c r="B336">
        <v>2026</v>
      </c>
      <c r="C336">
        <v>12</v>
      </c>
      <c r="D336" t="s">
        <v>380</v>
      </c>
      <c r="E336" t="s">
        <v>378</v>
      </c>
    </row>
    <row r="337" spans="1:5" x14ac:dyDescent="0.2">
      <c r="A337" s="13">
        <v>46358</v>
      </c>
      <c r="B337">
        <v>2026</v>
      </c>
      <c r="C337">
        <v>12</v>
      </c>
      <c r="D337" t="s">
        <v>380</v>
      </c>
      <c r="E337" t="s">
        <v>378</v>
      </c>
    </row>
    <row r="338" spans="1:5" x14ac:dyDescent="0.2">
      <c r="A338" s="13">
        <v>46359</v>
      </c>
      <c r="B338">
        <v>2026</v>
      </c>
      <c r="C338">
        <v>12</v>
      </c>
      <c r="D338" t="s">
        <v>380</v>
      </c>
      <c r="E338" t="s">
        <v>378</v>
      </c>
    </row>
    <row r="339" spans="1:5" x14ac:dyDescent="0.2">
      <c r="A339" s="13">
        <v>46360</v>
      </c>
      <c r="B339">
        <v>2026</v>
      </c>
      <c r="C339">
        <v>12</v>
      </c>
      <c r="D339" t="s">
        <v>380</v>
      </c>
      <c r="E339" t="s">
        <v>378</v>
      </c>
    </row>
    <row r="340" spans="1:5" x14ac:dyDescent="0.2">
      <c r="A340" s="13">
        <v>46361</v>
      </c>
      <c r="B340">
        <v>2026</v>
      </c>
      <c r="C340">
        <v>12</v>
      </c>
      <c r="D340" t="s">
        <v>380</v>
      </c>
      <c r="E340" t="s">
        <v>378</v>
      </c>
    </row>
    <row r="341" spans="1:5" x14ac:dyDescent="0.2">
      <c r="A341" s="13">
        <v>46362</v>
      </c>
      <c r="B341">
        <v>2026</v>
      </c>
      <c r="C341">
        <v>12</v>
      </c>
      <c r="D341" t="s">
        <v>380</v>
      </c>
      <c r="E341" t="s">
        <v>378</v>
      </c>
    </row>
    <row r="342" spans="1:5" x14ac:dyDescent="0.2">
      <c r="A342" s="13">
        <v>46363</v>
      </c>
      <c r="B342">
        <v>2026</v>
      </c>
      <c r="C342">
        <v>12</v>
      </c>
      <c r="D342" t="s">
        <v>380</v>
      </c>
      <c r="E342" t="s">
        <v>378</v>
      </c>
    </row>
    <row r="343" spans="1:5" x14ac:dyDescent="0.2">
      <c r="A343" s="13">
        <v>46364</v>
      </c>
      <c r="B343">
        <v>2026</v>
      </c>
      <c r="C343">
        <v>12</v>
      </c>
      <c r="D343" t="s">
        <v>380</v>
      </c>
      <c r="E343" t="s">
        <v>378</v>
      </c>
    </row>
    <row r="344" spans="1:5" x14ac:dyDescent="0.2">
      <c r="A344" s="13">
        <v>46365</v>
      </c>
      <c r="B344">
        <v>2026</v>
      </c>
      <c r="C344">
        <v>12</v>
      </c>
      <c r="D344" t="s">
        <v>380</v>
      </c>
      <c r="E344" t="s">
        <v>378</v>
      </c>
    </row>
    <row r="345" spans="1:5" x14ac:dyDescent="0.2">
      <c r="A345" s="13">
        <v>46366</v>
      </c>
      <c r="B345">
        <v>2026</v>
      </c>
      <c r="C345">
        <v>12</v>
      </c>
      <c r="D345" t="s">
        <v>380</v>
      </c>
      <c r="E345" t="s">
        <v>378</v>
      </c>
    </row>
    <row r="346" spans="1:5" x14ac:dyDescent="0.2">
      <c r="A346" s="13">
        <v>46367</v>
      </c>
      <c r="B346">
        <v>2026</v>
      </c>
      <c r="C346">
        <v>12</v>
      </c>
      <c r="D346" t="s">
        <v>380</v>
      </c>
      <c r="E346" t="s">
        <v>378</v>
      </c>
    </row>
    <row r="347" spans="1:5" x14ac:dyDescent="0.2">
      <c r="A347" s="13">
        <v>46368</v>
      </c>
      <c r="B347">
        <v>2026</v>
      </c>
      <c r="C347">
        <v>12</v>
      </c>
      <c r="D347" t="s">
        <v>380</v>
      </c>
      <c r="E347" t="s">
        <v>378</v>
      </c>
    </row>
    <row r="348" spans="1:5" x14ac:dyDescent="0.2">
      <c r="A348" s="13">
        <v>46369</v>
      </c>
      <c r="B348">
        <v>2026</v>
      </c>
      <c r="C348">
        <v>12</v>
      </c>
      <c r="D348" t="s">
        <v>380</v>
      </c>
      <c r="E348" t="s">
        <v>378</v>
      </c>
    </row>
    <row r="349" spans="1:5" x14ac:dyDescent="0.2">
      <c r="A349" s="13">
        <v>46370</v>
      </c>
      <c r="B349">
        <v>2026</v>
      </c>
      <c r="C349">
        <v>12</v>
      </c>
      <c r="D349" t="s">
        <v>380</v>
      </c>
      <c r="E349" t="s">
        <v>378</v>
      </c>
    </row>
    <row r="350" spans="1:5" x14ac:dyDescent="0.2">
      <c r="A350" s="13">
        <v>46371</v>
      </c>
      <c r="B350">
        <v>2026</v>
      </c>
      <c r="C350">
        <v>12</v>
      </c>
      <c r="D350" t="s">
        <v>380</v>
      </c>
      <c r="E350" t="s">
        <v>378</v>
      </c>
    </row>
    <row r="351" spans="1:5" x14ac:dyDescent="0.2">
      <c r="A351" s="13">
        <v>46372</v>
      </c>
      <c r="B351">
        <v>2026</v>
      </c>
      <c r="C351">
        <v>12</v>
      </c>
      <c r="D351" t="s">
        <v>380</v>
      </c>
      <c r="E351" t="s">
        <v>378</v>
      </c>
    </row>
    <row r="352" spans="1:5" x14ac:dyDescent="0.2">
      <c r="A352" s="13">
        <v>46373</v>
      </c>
      <c r="B352">
        <v>2026</v>
      </c>
      <c r="C352">
        <v>12</v>
      </c>
      <c r="D352" t="s">
        <v>380</v>
      </c>
      <c r="E352" t="s">
        <v>378</v>
      </c>
    </row>
    <row r="353" spans="1:5" x14ac:dyDescent="0.2">
      <c r="A353" s="13">
        <v>46374</v>
      </c>
      <c r="B353">
        <v>2026</v>
      </c>
      <c r="C353">
        <v>12</v>
      </c>
      <c r="D353" t="s">
        <v>380</v>
      </c>
      <c r="E353" t="s">
        <v>378</v>
      </c>
    </row>
    <row r="354" spans="1:5" x14ac:dyDescent="0.2">
      <c r="A354" s="13">
        <v>46375</v>
      </c>
      <c r="B354">
        <v>2026</v>
      </c>
      <c r="C354">
        <v>12</v>
      </c>
      <c r="D354" t="s">
        <v>380</v>
      </c>
      <c r="E354" t="s">
        <v>378</v>
      </c>
    </row>
    <row r="355" spans="1:5" x14ac:dyDescent="0.2">
      <c r="A355" s="13">
        <v>46376</v>
      </c>
      <c r="B355">
        <v>2026</v>
      </c>
      <c r="C355">
        <v>12</v>
      </c>
      <c r="D355" t="s">
        <v>380</v>
      </c>
      <c r="E355" t="s">
        <v>378</v>
      </c>
    </row>
    <row r="356" spans="1:5" x14ac:dyDescent="0.2">
      <c r="A356" s="13">
        <v>46377</v>
      </c>
      <c r="B356">
        <v>2026</v>
      </c>
      <c r="C356">
        <v>12</v>
      </c>
      <c r="D356" t="s">
        <v>380</v>
      </c>
      <c r="E356" t="s">
        <v>378</v>
      </c>
    </row>
    <row r="357" spans="1:5" x14ac:dyDescent="0.2">
      <c r="A357" s="13">
        <v>46378</v>
      </c>
      <c r="B357">
        <v>2026</v>
      </c>
      <c r="C357">
        <v>12</v>
      </c>
      <c r="D357" t="s">
        <v>380</v>
      </c>
      <c r="E357" t="s">
        <v>378</v>
      </c>
    </row>
    <row r="358" spans="1:5" x14ac:dyDescent="0.2">
      <c r="A358" s="13">
        <v>46379</v>
      </c>
      <c r="B358">
        <v>2026</v>
      </c>
      <c r="C358">
        <v>12</v>
      </c>
      <c r="D358" t="s">
        <v>380</v>
      </c>
      <c r="E358" t="s">
        <v>378</v>
      </c>
    </row>
    <row r="359" spans="1:5" x14ac:dyDescent="0.2">
      <c r="A359" s="13">
        <v>46380</v>
      </c>
      <c r="B359">
        <v>2026</v>
      </c>
      <c r="C359">
        <v>12</v>
      </c>
      <c r="D359" t="s">
        <v>380</v>
      </c>
      <c r="E359" t="s">
        <v>378</v>
      </c>
    </row>
    <row r="360" spans="1:5" x14ac:dyDescent="0.2">
      <c r="A360" s="13">
        <v>46381</v>
      </c>
      <c r="B360">
        <v>2026</v>
      </c>
      <c r="C360">
        <v>12</v>
      </c>
      <c r="D360" t="s">
        <v>380</v>
      </c>
      <c r="E360" t="s">
        <v>378</v>
      </c>
    </row>
    <row r="361" spans="1:5" x14ac:dyDescent="0.2">
      <c r="A361" s="13">
        <v>46382</v>
      </c>
      <c r="B361">
        <v>2026</v>
      </c>
      <c r="C361">
        <v>12</v>
      </c>
      <c r="D361" t="s">
        <v>380</v>
      </c>
      <c r="E361" t="s">
        <v>378</v>
      </c>
    </row>
    <row r="362" spans="1:5" x14ac:dyDescent="0.2">
      <c r="A362" s="13">
        <v>46383</v>
      </c>
      <c r="B362">
        <v>2026</v>
      </c>
      <c r="C362">
        <v>12</v>
      </c>
      <c r="D362" t="s">
        <v>380</v>
      </c>
      <c r="E362" t="s">
        <v>378</v>
      </c>
    </row>
    <row r="363" spans="1:5" x14ac:dyDescent="0.2">
      <c r="A363" s="13">
        <v>46384</v>
      </c>
      <c r="B363">
        <v>2026</v>
      </c>
      <c r="C363">
        <v>12</v>
      </c>
      <c r="D363" t="s">
        <v>380</v>
      </c>
      <c r="E363" t="s">
        <v>378</v>
      </c>
    </row>
    <row r="364" spans="1:5" x14ac:dyDescent="0.2">
      <c r="A364" s="13">
        <v>46385</v>
      </c>
      <c r="B364">
        <v>2026</v>
      </c>
      <c r="C364">
        <v>12</v>
      </c>
      <c r="D364" t="s">
        <v>380</v>
      </c>
      <c r="E364" t="s">
        <v>378</v>
      </c>
    </row>
    <row r="365" spans="1:5" x14ac:dyDescent="0.2">
      <c r="A365" s="13">
        <v>46386</v>
      </c>
      <c r="B365">
        <v>2026</v>
      </c>
      <c r="C365">
        <v>12</v>
      </c>
      <c r="D365" t="s">
        <v>380</v>
      </c>
      <c r="E365" t="s">
        <v>378</v>
      </c>
    </row>
    <row r="366" spans="1:5" x14ac:dyDescent="0.2">
      <c r="A366" s="13">
        <v>46387</v>
      </c>
      <c r="B366">
        <v>2026</v>
      </c>
      <c r="C366">
        <v>12</v>
      </c>
      <c r="D366" t="s">
        <v>380</v>
      </c>
      <c r="E366" t="s">
        <v>378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1367-558A-0947-8394-993857839775}">
  <dimension ref="B2:C19"/>
  <sheetViews>
    <sheetView showGridLines="0" tabSelected="1" workbookViewId="0">
      <selection activeCell="B3" sqref="B3"/>
    </sheetView>
  </sheetViews>
  <sheetFormatPr baseColWidth="10" defaultColWidth="8.83203125" defaultRowHeight="15" x14ac:dyDescent="0.2"/>
  <cols>
    <col min="1" max="1" width="2.6640625" customWidth="1"/>
    <col min="2" max="2" width="34.6640625" customWidth="1"/>
    <col min="3" max="3" width="20.6640625" customWidth="1"/>
  </cols>
  <sheetData>
    <row r="2" spans="2:3" ht="26" x14ac:dyDescent="0.3">
      <c r="B2" s="1" t="s">
        <v>52</v>
      </c>
    </row>
    <row r="3" spans="2:3" x14ac:dyDescent="0.2">
      <c r="B3" s="2"/>
    </row>
    <row r="5" spans="2:3" x14ac:dyDescent="0.2">
      <c r="B5" s="3" t="s">
        <v>53</v>
      </c>
      <c r="C5" s="3" t="s">
        <v>31</v>
      </c>
    </row>
    <row r="6" spans="2:3" x14ac:dyDescent="0.2">
      <c r="B6" s="8" t="s">
        <v>54</v>
      </c>
      <c r="C6" s="15">
        <f>AVERAGE(Datos_Ventas!$G$2:$G$397)</f>
        <v>135592.14646464647</v>
      </c>
    </row>
    <row r="7" spans="2:3" x14ac:dyDescent="0.2">
      <c r="B7" s="8" t="s">
        <v>55</v>
      </c>
      <c r="C7" s="15">
        <f>_xlfn.STDEV.S(Datos_Ventas!$G$2:$G$397)/SQRT(COUNT(Datos_Ventas!$G$2:$G$397))</f>
        <v>7368.4861893846582</v>
      </c>
    </row>
    <row r="8" spans="2:3" x14ac:dyDescent="0.2">
      <c r="B8" s="8" t="s">
        <v>56</v>
      </c>
      <c r="C8" s="15">
        <f>MEDIAN(Datos_Ventas!$G$2:$G$397)</f>
        <v>89765</v>
      </c>
    </row>
    <row r="9" spans="2:3" x14ac:dyDescent="0.2">
      <c r="B9" s="8" t="s">
        <v>57</v>
      </c>
      <c r="C9" s="15">
        <f>IFERROR(_xlfn.MODE.SNGL(Datos_Ventas!$G$2:$G$397),"n/d")</f>
        <v>25200</v>
      </c>
    </row>
    <row r="10" spans="2:3" x14ac:dyDescent="0.2">
      <c r="B10" s="8" t="s">
        <v>58</v>
      </c>
      <c r="C10" s="15">
        <f>_xlfn.STDEV.S(Datos_Ventas!$G$2:$G$397)</f>
        <v>146631.02377862731</v>
      </c>
    </row>
    <row r="11" spans="2:3" x14ac:dyDescent="0.2">
      <c r="B11" s="8" t="s">
        <v>59</v>
      </c>
      <c r="C11" s="15">
        <f>_xlfn.VAR.S(Datos_Ventas!$G$2:$G$397)</f>
        <v>21500657134.368366</v>
      </c>
    </row>
    <row r="12" spans="2:3" x14ac:dyDescent="0.2">
      <c r="B12" s="8" t="s">
        <v>60</v>
      </c>
      <c r="C12" s="16">
        <f>KURT(Datos_Ventas!$G$2:$G$397)</f>
        <v>4.7051709342591508</v>
      </c>
    </row>
    <row r="13" spans="2:3" x14ac:dyDescent="0.2">
      <c r="B13" s="8" t="s">
        <v>61</v>
      </c>
      <c r="C13" s="16">
        <f>SKEW(Datos_Ventas!$G$2:$G$397)</f>
        <v>2.1703937344819324</v>
      </c>
    </row>
    <row r="14" spans="2:3" x14ac:dyDescent="0.2">
      <c r="B14" s="8" t="s">
        <v>62</v>
      </c>
      <c r="C14" s="15">
        <f>MAX(Datos_Ventas!$G$2:$G$397)-MIN(Datos_Ventas!$G$2:$G$397)</f>
        <v>744790</v>
      </c>
    </row>
    <row r="15" spans="2:3" x14ac:dyDescent="0.2">
      <c r="B15" s="8" t="s">
        <v>63</v>
      </c>
      <c r="C15" s="15">
        <f>MIN(Datos_Ventas!$G$2:$G$397)</f>
        <v>1910</v>
      </c>
    </row>
    <row r="16" spans="2:3" x14ac:dyDescent="0.2">
      <c r="B16" s="8" t="s">
        <v>64</v>
      </c>
      <c r="C16" s="15">
        <f>MAX(Datos_Ventas!$G$2:$G$397)</f>
        <v>746700</v>
      </c>
    </row>
    <row r="17" spans="2:3" x14ac:dyDescent="0.2">
      <c r="B17" s="8" t="s">
        <v>65</v>
      </c>
      <c r="C17" s="15">
        <f>SUM(Datos_Ventas!$G$2:$G$397)</f>
        <v>53694490</v>
      </c>
    </row>
    <row r="18" spans="2:3" x14ac:dyDescent="0.2">
      <c r="B18" s="8" t="s">
        <v>66</v>
      </c>
      <c r="C18" s="17">
        <f>COUNT(Datos_Ventas!$G$2:$G$397)</f>
        <v>396</v>
      </c>
    </row>
    <row r="19" spans="2:3" x14ac:dyDescent="0.2">
      <c r="B19" s="8" t="s">
        <v>67</v>
      </c>
      <c r="C19" s="15">
        <f>_xlfn.CONFIDENCE.T(0.05,_xlfn.STDEV.S(Datos_Ventas!$G$2:$G$397),COUNT(Datos_Ventas!$G$2:$G$397))</f>
        <v>14486.354439614677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91C8-43C1-084B-B59A-80CFACFBBEF3}">
  <dimension ref="B2:C17"/>
  <sheetViews>
    <sheetView showGridLines="0" workbookViewId="0">
      <selection activeCell="A3" sqref="A3:XFD3"/>
    </sheetView>
  </sheetViews>
  <sheetFormatPr baseColWidth="10" defaultColWidth="8.83203125" defaultRowHeight="15" x14ac:dyDescent="0.2"/>
  <cols>
    <col min="1" max="1" width="2.6640625" customWidth="1"/>
    <col min="2" max="2" width="40.6640625" customWidth="1"/>
    <col min="3" max="3" width="20.6640625" customWidth="1"/>
  </cols>
  <sheetData>
    <row r="2" spans="2:3" ht="26" x14ac:dyDescent="0.3">
      <c r="B2" s="1" t="s">
        <v>68</v>
      </c>
    </row>
    <row r="3" spans="2:3" x14ac:dyDescent="0.2">
      <c r="B3" s="2"/>
    </row>
    <row r="4" spans="2:3" ht="16" x14ac:dyDescent="0.2">
      <c r="B4" s="5" t="s">
        <v>69</v>
      </c>
    </row>
    <row r="5" spans="2:3" x14ac:dyDescent="0.2">
      <c r="B5" s="8" t="s">
        <v>70</v>
      </c>
      <c r="C5" s="10">
        <f>SUM(Datos_Ventas!$G$2:$G$397)</f>
        <v>53694490</v>
      </c>
    </row>
    <row r="6" spans="2:3" x14ac:dyDescent="0.2">
      <c r="B6" s="8" t="s">
        <v>71</v>
      </c>
      <c r="C6" s="18">
        <v>0.6</v>
      </c>
    </row>
    <row r="7" spans="2:3" x14ac:dyDescent="0.2">
      <c r="B7" s="8" t="s">
        <v>72</v>
      </c>
      <c r="C7" s="18">
        <v>0.15</v>
      </c>
    </row>
    <row r="8" spans="2:3" x14ac:dyDescent="0.2">
      <c r="B8" s="8" t="s">
        <v>73</v>
      </c>
      <c r="C8" s="18">
        <v>0.3</v>
      </c>
    </row>
    <row r="10" spans="2:3" ht="16" x14ac:dyDescent="0.2">
      <c r="B10" s="5" t="s">
        <v>74</v>
      </c>
    </row>
    <row r="11" spans="2:3" x14ac:dyDescent="0.2">
      <c r="B11" s="19" t="s">
        <v>75</v>
      </c>
      <c r="C11" s="20">
        <f>C5*C6</f>
        <v>32216694</v>
      </c>
    </row>
    <row r="12" spans="2:3" x14ac:dyDescent="0.2">
      <c r="B12" s="19" t="s">
        <v>76</v>
      </c>
      <c r="C12" s="20">
        <f>C5-C11</f>
        <v>21477796</v>
      </c>
    </row>
    <row r="13" spans="2:3" x14ac:dyDescent="0.2">
      <c r="B13" s="19" t="s">
        <v>77</v>
      </c>
      <c r="C13" s="20">
        <f>C5*C7</f>
        <v>8054173.5</v>
      </c>
    </row>
    <row r="14" spans="2:3" x14ac:dyDescent="0.2">
      <c r="B14" s="19" t="s">
        <v>78</v>
      </c>
      <c r="C14" s="20">
        <f>C12-C13</f>
        <v>13423622.5</v>
      </c>
    </row>
    <row r="15" spans="2:3" x14ac:dyDescent="0.2">
      <c r="B15" s="19" t="s">
        <v>79</v>
      </c>
      <c r="C15" s="20">
        <f>MAX(0,C14)*C8</f>
        <v>4027086.75</v>
      </c>
    </row>
    <row r="16" spans="2:3" x14ac:dyDescent="0.2">
      <c r="B16" s="21" t="s">
        <v>80</v>
      </c>
      <c r="C16" s="11">
        <f>C14-C15</f>
        <v>9396535.75</v>
      </c>
    </row>
    <row r="17" spans="2:3" x14ac:dyDescent="0.2">
      <c r="B17" s="21" t="s">
        <v>81</v>
      </c>
      <c r="C17" s="12">
        <f>C16/C5</f>
        <v>0.17499999999999999</v>
      </c>
    </row>
  </sheetData>
  <scenarios current="1" show="1" sqref="C16:C17">
    <scenario name="Pesimista" count="1" user="Javier Linares" comment="Costo alto">
      <inputCells r="C6" val="0.72" numFmtId="9"/>
    </scenario>
    <scenario name="Base" count="1" user="Javier Linares" comment="Escenario de referencia">
      <inputCells r="C6" val="0.6" numFmtId="9"/>
    </scenario>
    <scenario name="Optimista" count="1" user="Javier Linares" comment="Costo reducido">
      <inputCells r="C6" val="0.5" numFmtId="9"/>
    </scenario>
  </scenario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2A15E-8C96-3F43-9200-4B96DA80FAE4}">
  <dimension ref="B2:G13"/>
  <sheetViews>
    <sheetView showGridLines="0" workbookViewId="0">
      <selection activeCell="B12" sqref="B12:G13"/>
    </sheetView>
  </sheetViews>
  <sheetFormatPr baseColWidth="10" defaultColWidth="8.83203125" defaultRowHeight="15" x14ac:dyDescent="0.2"/>
  <cols>
    <col min="1" max="1" width="2.6640625" customWidth="1"/>
    <col min="2" max="2" width="3.6640625" customWidth="1"/>
    <col min="3" max="3" width="26.6640625" customWidth="1"/>
    <col min="4" max="7" width="20.6640625" customWidth="1"/>
  </cols>
  <sheetData>
    <row r="2" spans="2:7" ht="21" x14ac:dyDescent="0.25">
      <c r="B2" s="22" t="s">
        <v>82</v>
      </c>
    </row>
    <row r="4" spans="2:7" x14ac:dyDescent="0.2">
      <c r="D4" s="23" t="s">
        <v>83</v>
      </c>
      <c r="E4" s="23" t="s">
        <v>84</v>
      </c>
      <c r="F4" s="23" t="s">
        <v>85</v>
      </c>
      <c r="G4" s="23" t="s">
        <v>86</v>
      </c>
    </row>
    <row r="5" spans="2:7" x14ac:dyDescent="0.2">
      <c r="B5" s="24" t="s">
        <v>87</v>
      </c>
    </row>
    <row r="6" spans="2:7" x14ac:dyDescent="0.2">
      <c r="C6" s="25" t="s">
        <v>88</v>
      </c>
      <c r="D6" s="26">
        <v>0.6</v>
      </c>
      <c r="E6" s="26">
        <v>0.72</v>
      </c>
      <c r="F6" s="26">
        <v>0.6</v>
      </c>
      <c r="G6" s="26">
        <v>0.5</v>
      </c>
    </row>
    <row r="8" spans="2:7" x14ac:dyDescent="0.2">
      <c r="B8" s="24" t="s">
        <v>89</v>
      </c>
    </row>
    <row r="9" spans="2:7" x14ac:dyDescent="0.2">
      <c r="C9" s="25" t="s">
        <v>90</v>
      </c>
      <c r="D9" s="10">
        <v>9396535.75</v>
      </c>
      <c r="E9" s="10">
        <v>4886198.5900000017</v>
      </c>
      <c r="F9" s="10">
        <v>9396535.75</v>
      </c>
      <c r="G9" s="10">
        <v>13155150.050000001</v>
      </c>
    </row>
    <row r="10" spans="2:7" x14ac:dyDescent="0.2">
      <c r="C10" s="25" t="s">
        <v>91</v>
      </c>
      <c r="D10" s="27">
        <v>0.17499999999999999</v>
      </c>
      <c r="E10" s="27">
        <v>9.1000000000000025E-2</v>
      </c>
      <c r="F10" s="27">
        <v>0.17499999999999999</v>
      </c>
      <c r="G10" s="27">
        <v>0.245</v>
      </c>
    </row>
    <row r="12" spans="2:7" x14ac:dyDescent="0.2">
      <c r="B12" s="80"/>
      <c r="C12" s="80"/>
      <c r="D12" s="80"/>
      <c r="E12" s="80"/>
      <c r="F12" s="80"/>
      <c r="G12" s="80"/>
    </row>
    <row r="13" spans="2:7" x14ac:dyDescent="0.2">
      <c r="B13" s="80"/>
      <c r="C13" s="80"/>
      <c r="D13" s="80"/>
      <c r="E13" s="80"/>
      <c r="F13" s="80"/>
      <c r="G13" s="80"/>
    </row>
  </sheetData>
  <mergeCells count="1">
    <mergeCell ref="B12:G1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6697-29A9-D645-97AA-C7F90F99103B}">
  <dimension ref="A1:P39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4" width="10" customWidth="1"/>
    <col min="5" max="5" width="24" customWidth="1"/>
    <col min="6" max="6" width="13" customWidth="1"/>
    <col min="7" max="7" width="20" customWidth="1"/>
    <col min="8" max="9" width="14" customWidth="1"/>
    <col min="10" max="16" width="13" customWidth="1"/>
  </cols>
  <sheetData>
    <row r="1" spans="1:16" x14ac:dyDescent="0.2">
      <c r="A1" s="28" t="s">
        <v>25</v>
      </c>
      <c r="B1" s="28" t="s">
        <v>26</v>
      </c>
      <c r="C1" s="28" t="s">
        <v>363</v>
      </c>
      <c r="D1" s="28" t="s">
        <v>364</v>
      </c>
      <c r="E1" s="28" t="s">
        <v>342</v>
      </c>
      <c r="F1" s="28" t="s">
        <v>343</v>
      </c>
      <c r="G1" s="28" t="s">
        <v>318</v>
      </c>
      <c r="H1" s="28" t="s">
        <v>319</v>
      </c>
      <c r="I1" s="28" t="s">
        <v>320</v>
      </c>
      <c r="J1" s="28" t="s">
        <v>29</v>
      </c>
      <c r="K1" s="28" t="s">
        <v>30</v>
      </c>
      <c r="L1" s="28" t="s">
        <v>31</v>
      </c>
      <c r="M1" s="28" t="s">
        <v>419</v>
      </c>
      <c r="N1" s="28" t="s">
        <v>420</v>
      </c>
      <c r="O1" s="28" t="s">
        <v>421</v>
      </c>
      <c r="P1" s="28" t="s">
        <v>422</v>
      </c>
    </row>
    <row r="2" spans="1:16" x14ac:dyDescent="0.2">
      <c r="A2">
        <f>Datos_Ventas!A2</f>
        <v>1</v>
      </c>
      <c r="B2" s="13">
        <f>Datos_Ventas!B2</f>
        <v>46023</v>
      </c>
      <c r="C2" t="str">
        <f t="shared" ref="C2:C65" si="0">CHOOSE(MONTH(B2),"01 Ene","02 Feb","03 Mar","04 Abr","05 May","06 Jun","07 Jul","08 Ago","09 Sep","10 Oct","11 Nov","12 Dic")</f>
        <v>01 Ene</v>
      </c>
      <c r="D2" t="str">
        <f t="shared" ref="D2:D65" si="1">"T"&amp;ROUNDUP(MONTH(B2)/3,0)</f>
        <v>T1</v>
      </c>
      <c r="E2" t="str">
        <f>INDEX(Productos!$B$2:$B$11,MATCH(Datos_Ventas!D2,Productos!$A$2:$A$11,0))</f>
        <v>Alimento Premium 10kg</v>
      </c>
      <c r="F2" t="str">
        <f>INDEX(Productos!$C$2:$C$11,MATCH(Datos_Ventas!D2,Productos!$A$2:$A$11,0))</f>
        <v>Alimentos</v>
      </c>
      <c r="G2" t="str">
        <f>INDEX(Clientes!$B$2:$B$11,MATCH(Datos_Ventas!C2,Clientes!$A$2:$A$11,0))</f>
        <v>Despensa Vero</v>
      </c>
      <c r="H2" t="str">
        <f>INDEX(Clientes!$C$2:$C$11,MATCH(Datos_Ventas!C2,Clientes!$A$2:$A$11,0))</f>
        <v>Minorista</v>
      </c>
      <c r="I2" t="str">
        <f>INDEX(Clientes!$D$2:$D$11,MATCH(Datos_Ventas!C2,Clientes!$A$2:$A$11,0))</f>
        <v>Mendoza</v>
      </c>
      <c r="J2">
        <f>Datos_Ventas!E2</f>
        <v>21</v>
      </c>
      <c r="K2" s="29">
        <f>Datos_Ventas!F2</f>
        <v>19090</v>
      </c>
      <c r="L2" s="29">
        <f>Datos_Ventas!G2</f>
        <v>400890</v>
      </c>
      <c r="M2" s="29">
        <f>J2*INDEX(Productos!$D$2:$D$11,MATCH(Datos_Ventas!D2,Productos!$A$2:$A$11,0))</f>
        <v>262500</v>
      </c>
      <c r="N2" s="29">
        <f t="shared" ref="N2:N65" si="2">L2-M2</f>
        <v>138390</v>
      </c>
      <c r="O2" s="30">
        <f>K2/INDEX(Productos!$E$2:$E$11,MATCH(Datos_Ventas!D2,Productos!$A$2:$A$11,0))-1</f>
        <v>1.0052910052910091E-2</v>
      </c>
      <c r="P2">
        <f t="shared" ref="P2:P65" si="3">SUBTOTAL(103,A2)</f>
        <v>1</v>
      </c>
    </row>
    <row r="3" spans="1:16" x14ac:dyDescent="0.2">
      <c r="A3">
        <f>Datos_Ventas!A3</f>
        <v>2</v>
      </c>
      <c r="B3" s="13">
        <f>Datos_Ventas!B3</f>
        <v>46023</v>
      </c>
      <c r="C3" t="str">
        <f t="shared" si="0"/>
        <v>01 Ene</v>
      </c>
      <c r="D3" t="str">
        <f t="shared" si="1"/>
        <v>T1</v>
      </c>
      <c r="E3" t="str">
        <f>INDEX(Productos!$B$2:$B$11,MATCH(Datos_Ventas!D3,Productos!$A$2:$A$11,0))</f>
        <v>Snack Dental</v>
      </c>
      <c r="F3" t="str">
        <f>INDEX(Productos!$C$2:$C$11,MATCH(Datos_Ventas!D3,Productos!$A$2:$A$11,0))</f>
        <v>Snacks</v>
      </c>
      <c r="G3" t="str">
        <f>INDEX(Clientes!$B$2:$B$11,MATCH(Datos_Ventas!C3,Clientes!$A$2:$A$11,0))</f>
        <v>Almacén Don Pedro</v>
      </c>
      <c r="H3" t="str">
        <f>INDEX(Clientes!$C$2:$C$11,MATCH(Datos_Ventas!C3,Clientes!$A$2:$A$11,0))</f>
        <v>Minorista</v>
      </c>
      <c r="I3" t="str">
        <f>INDEX(Clientes!$D$2:$D$11,MATCH(Datos_Ventas!C3,Clientes!$A$2:$A$11,0))</f>
        <v>Maipú</v>
      </c>
      <c r="J3">
        <f>Datos_Ventas!E3</f>
        <v>8</v>
      </c>
      <c r="K3" s="29">
        <f>Datos_Ventas!F3</f>
        <v>2990</v>
      </c>
      <c r="L3" s="29">
        <f>Datos_Ventas!G3</f>
        <v>23920</v>
      </c>
      <c r="M3" s="29">
        <f>J3*INDEX(Productos!$D$2:$D$11,MATCH(Datos_Ventas!D3,Productos!$A$2:$A$11,0))</f>
        <v>14400</v>
      </c>
      <c r="N3" s="29">
        <f t="shared" si="2"/>
        <v>9520</v>
      </c>
      <c r="O3" s="30">
        <f>K3/INDEX(Productos!$E$2:$E$11,MATCH(Datos_Ventas!D3,Productos!$A$2:$A$11,0))-1</f>
        <v>-6.5625000000000044E-2</v>
      </c>
      <c r="P3">
        <f t="shared" si="3"/>
        <v>1</v>
      </c>
    </row>
    <row r="4" spans="1:16" x14ac:dyDescent="0.2">
      <c r="A4">
        <f>Datos_Ventas!A4</f>
        <v>3</v>
      </c>
      <c r="B4" s="13">
        <f>Datos_Ventas!B4</f>
        <v>46024</v>
      </c>
      <c r="C4" t="str">
        <f t="shared" si="0"/>
        <v>01 Ene</v>
      </c>
      <c r="D4" t="str">
        <f t="shared" si="1"/>
        <v>T1</v>
      </c>
      <c r="E4" t="str">
        <f>INDEX(Productos!$B$2:$B$11,MATCH(Datos_Ventas!D4,Productos!$A$2:$A$11,0))</f>
        <v>Collar Ajustable</v>
      </c>
      <c r="F4" t="str">
        <f>INDEX(Productos!$C$2:$C$11,MATCH(Datos_Ventas!D4,Productos!$A$2:$A$11,0))</f>
        <v>Accesorios</v>
      </c>
      <c r="G4" t="str">
        <f>INDEX(Clientes!$B$2:$B$11,MATCH(Datos_Ventas!C4,Clientes!$A$2:$A$11,0))</f>
        <v>Autoservicio Norte</v>
      </c>
      <c r="H4" t="str">
        <f>INDEX(Clientes!$C$2:$C$11,MATCH(Datos_Ventas!C4,Clientes!$A$2:$A$11,0))</f>
        <v>Retail</v>
      </c>
      <c r="I4" t="str">
        <f>INDEX(Clientes!$D$2:$D$11,MATCH(Datos_Ventas!C4,Clientes!$A$2:$A$11,0))</f>
        <v>Las Heras</v>
      </c>
      <c r="J4">
        <f>Datos_Ventas!E4</f>
        <v>22</v>
      </c>
      <c r="K4" s="29">
        <f>Datos_Ventas!F4</f>
        <v>3850</v>
      </c>
      <c r="L4" s="29">
        <f>Datos_Ventas!G4</f>
        <v>84700</v>
      </c>
      <c r="M4" s="29">
        <f>J4*INDEX(Productos!$D$2:$D$11,MATCH(Datos_Ventas!D4,Productos!$A$2:$A$11,0))</f>
        <v>41800</v>
      </c>
      <c r="N4" s="29">
        <f t="shared" si="2"/>
        <v>42900</v>
      </c>
      <c r="O4" s="30">
        <f>K4/INDEX(Productos!$E$2:$E$11,MATCH(Datos_Ventas!D4,Productos!$A$2:$A$11,0))-1</f>
        <v>6.944444444444442E-2</v>
      </c>
      <c r="P4">
        <f t="shared" si="3"/>
        <v>1</v>
      </c>
    </row>
    <row r="5" spans="1:16" x14ac:dyDescent="0.2">
      <c r="A5">
        <f>Datos_Ventas!A5</f>
        <v>4</v>
      </c>
      <c r="B5" s="13">
        <f>Datos_Ventas!B5</f>
        <v>46024</v>
      </c>
      <c r="C5" t="str">
        <f t="shared" si="0"/>
        <v>01 Ene</v>
      </c>
      <c r="D5" t="str">
        <f t="shared" si="1"/>
        <v>T1</v>
      </c>
      <c r="E5" t="str">
        <f>INDEX(Productos!$B$2:$B$11,MATCH(Datos_Ventas!D5,Productos!$A$2:$A$11,0))</f>
        <v>Snack Dental</v>
      </c>
      <c r="F5" t="str">
        <f>INDEX(Productos!$C$2:$C$11,MATCH(Datos_Ventas!D5,Productos!$A$2:$A$11,0))</f>
        <v>Snacks</v>
      </c>
      <c r="G5" t="str">
        <f>INDEX(Clientes!$B$2:$B$11,MATCH(Datos_Ventas!C5,Clientes!$A$2:$A$11,0))</f>
        <v>Kiosco La Esquina</v>
      </c>
      <c r="H5" t="str">
        <f>INDEX(Clientes!$C$2:$C$11,MATCH(Datos_Ventas!C5,Clientes!$A$2:$A$11,0))</f>
        <v>Minorista</v>
      </c>
      <c r="I5" t="str">
        <f>INDEX(Clientes!$D$2:$D$11,MATCH(Datos_Ventas!C5,Clientes!$A$2:$A$11,0))</f>
        <v>Godoy Cruz</v>
      </c>
      <c r="J5">
        <f>Datos_Ventas!E5</f>
        <v>30</v>
      </c>
      <c r="K5" s="29">
        <f>Datos_Ventas!F5</f>
        <v>2980</v>
      </c>
      <c r="L5" s="29">
        <f>Datos_Ventas!G5</f>
        <v>89400</v>
      </c>
      <c r="M5" s="29">
        <f>J5*INDEX(Productos!$D$2:$D$11,MATCH(Datos_Ventas!D5,Productos!$A$2:$A$11,0))</f>
        <v>54000</v>
      </c>
      <c r="N5" s="29">
        <f t="shared" si="2"/>
        <v>35400</v>
      </c>
      <c r="O5" s="30">
        <f>K5/INDEX(Productos!$E$2:$E$11,MATCH(Datos_Ventas!D5,Productos!$A$2:$A$11,0))-1</f>
        <v>-6.8749999999999978E-2</v>
      </c>
      <c r="P5">
        <f t="shared" si="3"/>
        <v>1</v>
      </c>
    </row>
    <row r="6" spans="1:16" x14ac:dyDescent="0.2">
      <c r="A6">
        <f>Datos_Ventas!A6</f>
        <v>5</v>
      </c>
      <c r="B6" s="13">
        <f>Datos_Ventas!B6</f>
        <v>46024</v>
      </c>
      <c r="C6" t="str">
        <f t="shared" si="0"/>
        <v>01 Ene</v>
      </c>
      <c r="D6" t="str">
        <f t="shared" si="1"/>
        <v>T1</v>
      </c>
      <c r="E6" t="str">
        <f>INDEX(Productos!$B$2:$B$11,MATCH(Datos_Ventas!D6,Productos!$A$2:$A$11,0))</f>
        <v>Alimento Premium 10kg</v>
      </c>
      <c r="F6" t="str">
        <f>INDEX(Productos!$C$2:$C$11,MATCH(Datos_Ventas!D6,Productos!$A$2:$A$11,0))</f>
        <v>Alimentos</v>
      </c>
      <c r="G6" t="str">
        <f>INDEX(Clientes!$B$2:$B$11,MATCH(Datos_Ventas!C6,Clientes!$A$2:$A$11,0))</f>
        <v>Autoservicio Norte</v>
      </c>
      <c r="H6" t="str">
        <f>INDEX(Clientes!$C$2:$C$11,MATCH(Datos_Ventas!C6,Clientes!$A$2:$A$11,0))</f>
        <v>Retail</v>
      </c>
      <c r="I6" t="str">
        <f>INDEX(Clientes!$D$2:$D$11,MATCH(Datos_Ventas!C6,Clientes!$A$2:$A$11,0))</f>
        <v>Las Heras</v>
      </c>
      <c r="J6">
        <f>Datos_Ventas!E6</f>
        <v>13</v>
      </c>
      <c r="K6" s="29">
        <f>Datos_Ventas!F6</f>
        <v>17890</v>
      </c>
      <c r="L6" s="29">
        <f>Datos_Ventas!G6</f>
        <v>232570</v>
      </c>
      <c r="M6" s="29">
        <f>J6*INDEX(Productos!$D$2:$D$11,MATCH(Datos_Ventas!D6,Productos!$A$2:$A$11,0))</f>
        <v>162500</v>
      </c>
      <c r="N6" s="29">
        <f t="shared" si="2"/>
        <v>70070</v>
      </c>
      <c r="O6" s="30">
        <f>K6/INDEX(Productos!$E$2:$E$11,MATCH(Datos_Ventas!D6,Productos!$A$2:$A$11,0))-1</f>
        <v>-5.3439153439153397E-2</v>
      </c>
      <c r="P6">
        <f t="shared" si="3"/>
        <v>1</v>
      </c>
    </row>
    <row r="7" spans="1:16" x14ac:dyDescent="0.2">
      <c r="A7">
        <f>Datos_Ventas!A7</f>
        <v>6</v>
      </c>
      <c r="B7" s="13">
        <f>Datos_Ventas!B7</f>
        <v>46024</v>
      </c>
      <c r="C7" t="str">
        <f t="shared" si="0"/>
        <v>01 Ene</v>
      </c>
      <c r="D7" t="str">
        <f t="shared" si="1"/>
        <v>T1</v>
      </c>
      <c r="E7" t="str">
        <f>INDEX(Productos!$B$2:$B$11,MATCH(Datos_Ventas!D7,Productos!$A$2:$A$11,0))</f>
        <v>Snack Dental</v>
      </c>
      <c r="F7" t="str">
        <f>INDEX(Productos!$C$2:$C$11,MATCH(Datos_Ventas!D7,Productos!$A$2:$A$11,0))</f>
        <v>Snacks</v>
      </c>
      <c r="G7" t="str">
        <f>INDEX(Clientes!$B$2:$B$11,MATCH(Datos_Ventas!C7,Clientes!$A$2:$A$11,0))</f>
        <v>Autoservicio Norte</v>
      </c>
      <c r="H7" t="str">
        <f>INDEX(Clientes!$C$2:$C$11,MATCH(Datos_Ventas!C7,Clientes!$A$2:$A$11,0))</f>
        <v>Retail</v>
      </c>
      <c r="I7" t="str">
        <f>INDEX(Clientes!$D$2:$D$11,MATCH(Datos_Ventas!C7,Clientes!$A$2:$A$11,0))</f>
        <v>Las Heras</v>
      </c>
      <c r="J7">
        <f>Datos_Ventas!E7</f>
        <v>8</v>
      </c>
      <c r="K7" s="29">
        <f>Datos_Ventas!F7</f>
        <v>3320</v>
      </c>
      <c r="L7" s="29">
        <f>Datos_Ventas!G7</f>
        <v>26560</v>
      </c>
      <c r="M7" s="29">
        <f>J7*INDEX(Productos!$D$2:$D$11,MATCH(Datos_Ventas!D7,Productos!$A$2:$A$11,0))</f>
        <v>14400</v>
      </c>
      <c r="N7" s="29">
        <f t="shared" si="2"/>
        <v>12160</v>
      </c>
      <c r="O7" s="30">
        <f>K7/INDEX(Productos!$E$2:$E$11,MATCH(Datos_Ventas!D7,Productos!$A$2:$A$11,0))-1</f>
        <v>3.7500000000000089E-2</v>
      </c>
      <c r="P7">
        <f t="shared" si="3"/>
        <v>1</v>
      </c>
    </row>
    <row r="8" spans="1:16" x14ac:dyDescent="0.2">
      <c r="A8">
        <f>Datos_Ventas!A8</f>
        <v>7</v>
      </c>
      <c r="B8" s="13">
        <f>Datos_Ventas!B8</f>
        <v>46025</v>
      </c>
      <c r="C8" t="str">
        <f t="shared" si="0"/>
        <v>01 Ene</v>
      </c>
      <c r="D8" t="str">
        <f t="shared" si="1"/>
        <v>T1</v>
      </c>
      <c r="E8" t="str">
        <f>INDEX(Productos!$B$2:$B$11,MATCH(Datos_Ventas!D8,Productos!$A$2:$A$11,0))</f>
        <v>Galletas Perro</v>
      </c>
      <c r="F8" t="str">
        <f>INDEX(Productos!$C$2:$C$11,MATCH(Datos_Ventas!D8,Productos!$A$2:$A$11,0))</f>
        <v>Snacks</v>
      </c>
      <c r="G8" t="str">
        <f>INDEX(Clientes!$B$2:$B$11,MATCH(Datos_Ventas!C8,Clientes!$A$2:$A$11,0))</f>
        <v>Almacén Don Pedro</v>
      </c>
      <c r="H8" t="str">
        <f>INDEX(Clientes!$C$2:$C$11,MATCH(Datos_Ventas!C8,Clientes!$A$2:$A$11,0))</f>
        <v>Minorista</v>
      </c>
      <c r="I8" t="str">
        <f>INDEX(Clientes!$D$2:$D$11,MATCH(Datos_Ventas!C8,Clientes!$A$2:$A$11,0))</f>
        <v>Maipú</v>
      </c>
      <c r="J8">
        <f>Datos_Ventas!E8</f>
        <v>11</v>
      </c>
      <c r="K8" s="29">
        <f>Datos_Ventas!F8</f>
        <v>2860</v>
      </c>
      <c r="L8" s="29">
        <f>Datos_Ventas!G8</f>
        <v>31460</v>
      </c>
      <c r="M8" s="29">
        <f>J8*INDEX(Productos!$D$2:$D$11,MATCH(Datos_Ventas!D8,Productos!$A$2:$A$11,0))</f>
        <v>16500</v>
      </c>
      <c r="N8" s="29">
        <f t="shared" si="2"/>
        <v>14960</v>
      </c>
      <c r="O8" s="30">
        <f>K8/INDEX(Productos!$E$2:$E$11,MATCH(Datos_Ventas!D8,Productos!$A$2:$A$11,0))-1</f>
        <v>5.9259259259259345E-2</v>
      </c>
      <c r="P8">
        <f t="shared" si="3"/>
        <v>1</v>
      </c>
    </row>
    <row r="9" spans="1:16" x14ac:dyDescent="0.2">
      <c r="A9">
        <f>Datos_Ventas!A9</f>
        <v>8</v>
      </c>
      <c r="B9" s="13">
        <f>Datos_Ventas!B9</f>
        <v>46025</v>
      </c>
      <c r="C9" t="str">
        <f t="shared" si="0"/>
        <v>01 Ene</v>
      </c>
      <c r="D9" t="str">
        <f t="shared" si="1"/>
        <v>T1</v>
      </c>
      <c r="E9" t="str">
        <f>INDEX(Productos!$B$2:$B$11,MATCH(Datos_Ventas!D9,Productos!$A$2:$A$11,0))</f>
        <v>Aceite Omega</v>
      </c>
      <c r="F9" t="str">
        <f>INDEX(Productos!$C$2:$C$11,MATCH(Datos_Ventas!D9,Productos!$A$2:$A$11,0))</f>
        <v>Suplementos</v>
      </c>
      <c r="G9" t="str">
        <f>INDEX(Clientes!$B$2:$B$11,MATCH(Datos_Ventas!C9,Clientes!$A$2:$A$11,0))</f>
        <v>Kiosco La Esquina</v>
      </c>
      <c r="H9" t="str">
        <f>INDEX(Clientes!$C$2:$C$11,MATCH(Datos_Ventas!C9,Clientes!$A$2:$A$11,0))</f>
        <v>Minorista</v>
      </c>
      <c r="I9" t="str">
        <f>INDEX(Clientes!$D$2:$D$11,MATCH(Datos_Ventas!C9,Clientes!$A$2:$A$11,0))</f>
        <v>Godoy Cruz</v>
      </c>
      <c r="J9">
        <f>Datos_Ventas!E9</f>
        <v>24</v>
      </c>
      <c r="K9" s="29">
        <f>Datos_Ventas!F9</f>
        <v>5270</v>
      </c>
      <c r="L9" s="29">
        <f>Datos_Ventas!G9</f>
        <v>126480</v>
      </c>
      <c r="M9" s="29">
        <f>J9*INDEX(Productos!$D$2:$D$11,MATCH(Datos_Ventas!D9,Productos!$A$2:$A$11,0))</f>
        <v>74400</v>
      </c>
      <c r="N9" s="29">
        <f t="shared" si="2"/>
        <v>52080</v>
      </c>
      <c r="O9" s="30">
        <f>K9/INDEX(Productos!$E$2:$E$11,MATCH(Datos_Ventas!D9,Productos!$A$2:$A$11,0))-1</f>
        <v>-5.8928571428571441E-2</v>
      </c>
      <c r="P9">
        <f t="shared" si="3"/>
        <v>1</v>
      </c>
    </row>
    <row r="10" spans="1:16" x14ac:dyDescent="0.2">
      <c r="A10">
        <f>Datos_Ventas!A10</f>
        <v>9</v>
      </c>
      <c r="B10" s="13">
        <f>Datos_Ventas!B10</f>
        <v>46025</v>
      </c>
      <c r="C10" t="str">
        <f t="shared" si="0"/>
        <v>01 Ene</v>
      </c>
      <c r="D10" t="str">
        <f t="shared" si="1"/>
        <v>T1</v>
      </c>
      <c r="E10" t="str">
        <f>INDEX(Productos!$B$2:$B$11,MATCH(Datos_Ventas!D10,Productos!$A$2:$A$11,0))</f>
        <v>Arena Sanitaria</v>
      </c>
      <c r="F10" t="str">
        <f>INDEX(Productos!$C$2:$C$11,MATCH(Datos_Ventas!D10,Productos!$A$2:$A$11,0))</f>
        <v>Higiene</v>
      </c>
      <c r="G10" t="str">
        <f>INDEX(Clientes!$B$2:$B$11,MATCH(Datos_Ventas!C10,Clientes!$A$2:$A$11,0))</f>
        <v>Veterinaria Sur</v>
      </c>
      <c r="H10" t="str">
        <f>INDEX(Clientes!$C$2:$C$11,MATCH(Datos_Ventas!C10,Clientes!$A$2:$A$11,0))</f>
        <v>Especializado</v>
      </c>
      <c r="I10" t="str">
        <f>INDEX(Clientes!$D$2:$D$11,MATCH(Datos_Ventas!C10,Clientes!$A$2:$A$11,0))</f>
        <v>Godoy Cruz</v>
      </c>
      <c r="J10">
        <f>Datos_Ventas!E10</f>
        <v>6</v>
      </c>
      <c r="K10" s="29">
        <f>Datos_Ventas!F10</f>
        <v>4200</v>
      </c>
      <c r="L10" s="29">
        <f>Datos_Ventas!G10</f>
        <v>25200</v>
      </c>
      <c r="M10" s="29">
        <f>J10*INDEX(Productos!$D$2:$D$11,MATCH(Datos_Ventas!D10,Productos!$A$2:$A$11,0))</f>
        <v>15600</v>
      </c>
      <c r="N10" s="29">
        <f t="shared" si="2"/>
        <v>9600</v>
      </c>
      <c r="O10" s="30">
        <f>K10/INDEX(Productos!$E$2:$E$11,MATCH(Datos_Ventas!D10,Productos!$A$2:$A$11,0))-1</f>
        <v>-4.5454545454545414E-2</v>
      </c>
      <c r="P10">
        <f t="shared" si="3"/>
        <v>1</v>
      </c>
    </row>
    <row r="11" spans="1:16" x14ac:dyDescent="0.2">
      <c r="A11">
        <f>Datos_Ventas!A11</f>
        <v>10</v>
      </c>
      <c r="B11" s="13">
        <f>Datos_Ventas!B11</f>
        <v>46026</v>
      </c>
      <c r="C11" t="str">
        <f t="shared" si="0"/>
        <v>01 Ene</v>
      </c>
      <c r="D11" t="str">
        <f t="shared" si="1"/>
        <v>T1</v>
      </c>
      <c r="E11" t="str">
        <f>INDEX(Productos!$B$2:$B$11,MATCH(Datos_Ventas!D11,Productos!$A$2:$A$11,0))</f>
        <v>Correa Reforzada</v>
      </c>
      <c r="F11" t="str">
        <f>INDEX(Productos!$C$2:$C$11,MATCH(Datos_Ventas!D11,Productos!$A$2:$A$11,0))</f>
        <v>Accesorios</v>
      </c>
      <c r="G11" t="str">
        <f>INDEX(Clientes!$B$2:$B$11,MATCH(Datos_Ventas!C11,Clientes!$A$2:$A$11,0))</f>
        <v>Autoservicio Norte</v>
      </c>
      <c r="H11" t="str">
        <f>INDEX(Clientes!$C$2:$C$11,MATCH(Datos_Ventas!C11,Clientes!$A$2:$A$11,0))</f>
        <v>Retail</v>
      </c>
      <c r="I11" t="str">
        <f>INDEX(Clientes!$D$2:$D$11,MATCH(Datos_Ventas!C11,Clientes!$A$2:$A$11,0))</f>
        <v>Las Heras</v>
      </c>
      <c r="J11">
        <f>Datos_Ventas!E11</f>
        <v>20</v>
      </c>
      <c r="K11" s="29">
        <f>Datos_Ventas!F11</f>
        <v>5390</v>
      </c>
      <c r="L11" s="29">
        <f>Datos_Ventas!G11</f>
        <v>107800</v>
      </c>
      <c r="M11" s="29">
        <f>J11*INDEX(Productos!$D$2:$D$11,MATCH(Datos_Ventas!D11,Productos!$A$2:$A$11,0))</f>
        <v>56000</v>
      </c>
      <c r="N11" s="29">
        <f t="shared" si="2"/>
        <v>51800</v>
      </c>
      <c r="O11" s="30">
        <f>K11/INDEX(Productos!$E$2:$E$11,MATCH(Datos_Ventas!D11,Productos!$A$2:$A$11,0))-1</f>
        <v>3.6538461538461631E-2</v>
      </c>
      <c r="P11">
        <f t="shared" si="3"/>
        <v>1</v>
      </c>
    </row>
    <row r="12" spans="1:16" x14ac:dyDescent="0.2">
      <c r="A12">
        <f>Datos_Ventas!A12</f>
        <v>11</v>
      </c>
      <c r="B12" s="13">
        <f>Datos_Ventas!B12</f>
        <v>46027</v>
      </c>
      <c r="C12" t="str">
        <f t="shared" si="0"/>
        <v>01 Ene</v>
      </c>
      <c r="D12" t="str">
        <f t="shared" si="1"/>
        <v>T1</v>
      </c>
      <c r="E12" t="str">
        <f>INDEX(Productos!$B$2:$B$11,MATCH(Datos_Ventas!D12,Productos!$A$2:$A$11,0))</f>
        <v>Snack Dental</v>
      </c>
      <c r="F12" t="str">
        <f>INDEX(Productos!$C$2:$C$11,MATCH(Datos_Ventas!D12,Productos!$A$2:$A$11,0))</f>
        <v>Snacks</v>
      </c>
      <c r="G12" t="str">
        <f>INDEX(Clientes!$B$2:$B$11,MATCH(Datos_Ventas!C12,Clientes!$A$2:$A$11,0))</f>
        <v>Autoservicio Norte</v>
      </c>
      <c r="H12" t="str">
        <f>INDEX(Clientes!$C$2:$C$11,MATCH(Datos_Ventas!C12,Clientes!$A$2:$A$11,0))</f>
        <v>Retail</v>
      </c>
      <c r="I12" t="str">
        <f>INDEX(Clientes!$D$2:$D$11,MATCH(Datos_Ventas!C12,Clientes!$A$2:$A$11,0))</f>
        <v>Las Heras</v>
      </c>
      <c r="J12">
        <f>Datos_Ventas!E12</f>
        <v>20</v>
      </c>
      <c r="K12" s="29">
        <f>Datos_Ventas!F12</f>
        <v>2960</v>
      </c>
      <c r="L12" s="29">
        <f>Datos_Ventas!G12</f>
        <v>59200</v>
      </c>
      <c r="M12" s="29">
        <f>J12*INDEX(Productos!$D$2:$D$11,MATCH(Datos_Ventas!D12,Productos!$A$2:$A$11,0))</f>
        <v>36000</v>
      </c>
      <c r="N12" s="29">
        <f t="shared" si="2"/>
        <v>23200</v>
      </c>
      <c r="O12" s="30">
        <f>K12/INDEX(Productos!$E$2:$E$11,MATCH(Datos_Ventas!D12,Productos!$A$2:$A$11,0))-1</f>
        <v>-7.4999999999999956E-2</v>
      </c>
      <c r="P12">
        <f t="shared" si="3"/>
        <v>1</v>
      </c>
    </row>
    <row r="13" spans="1:16" x14ac:dyDescent="0.2">
      <c r="A13">
        <f>Datos_Ventas!A13</f>
        <v>12</v>
      </c>
      <c r="B13" s="13">
        <f>Datos_Ventas!B13</f>
        <v>46027</v>
      </c>
      <c r="C13" t="str">
        <f t="shared" si="0"/>
        <v>01 Ene</v>
      </c>
      <c r="D13" t="str">
        <f t="shared" si="1"/>
        <v>T1</v>
      </c>
      <c r="E13" t="str">
        <f>INDEX(Productos!$B$2:$B$11,MATCH(Datos_Ventas!D13,Productos!$A$2:$A$11,0))</f>
        <v>Aceite Omega</v>
      </c>
      <c r="F13" t="str">
        <f>INDEX(Productos!$C$2:$C$11,MATCH(Datos_Ventas!D13,Productos!$A$2:$A$11,0))</f>
        <v>Suplementos</v>
      </c>
      <c r="G13" t="str">
        <f>INDEX(Clientes!$B$2:$B$11,MATCH(Datos_Ventas!C13,Clientes!$A$2:$A$11,0))</f>
        <v>Veterinaria Sur</v>
      </c>
      <c r="H13" t="str">
        <f>INDEX(Clientes!$C$2:$C$11,MATCH(Datos_Ventas!C13,Clientes!$A$2:$A$11,0))</f>
        <v>Especializado</v>
      </c>
      <c r="I13" t="str">
        <f>INDEX(Clientes!$D$2:$D$11,MATCH(Datos_Ventas!C13,Clientes!$A$2:$A$11,0))</f>
        <v>Godoy Cruz</v>
      </c>
      <c r="J13">
        <f>Datos_Ventas!E13</f>
        <v>13</v>
      </c>
      <c r="K13" s="29">
        <f>Datos_Ventas!F13</f>
        <v>5350</v>
      </c>
      <c r="L13" s="29">
        <f>Datos_Ventas!G13</f>
        <v>69550</v>
      </c>
      <c r="M13" s="29">
        <f>J13*INDEX(Productos!$D$2:$D$11,MATCH(Datos_Ventas!D13,Productos!$A$2:$A$11,0))</f>
        <v>40300</v>
      </c>
      <c r="N13" s="29">
        <f t="shared" si="2"/>
        <v>29250</v>
      </c>
      <c r="O13" s="30">
        <f>K13/INDEX(Productos!$E$2:$E$11,MATCH(Datos_Ventas!D13,Productos!$A$2:$A$11,0))-1</f>
        <v>-4.4642857142857095E-2</v>
      </c>
      <c r="P13">
        <f t="shared" si="3"/>
        <v>1</v>
      </c>
    </row>
    <row r="14" spans="1:16" x14ac:dyDescent="0.2">
      <c r="A14">
        <f>Datos_Ventas!A14</f>
        <v>13</v>
      </c>
      <c r="B14" s="13">
        <f>Datos_Ventas!B14</f>
        <v>46028</v>
      </c>
      <c r="C14" t="str">
        <f t="shared" si="0"/>
        <v>01 Ene</v>
      </c>
      <c r="D14" t="str">
        <f t="shared" si="1"/>
        <v>T1</v>
      </c>
      <c r="E14" t="str">
        <f>INDEX(Productos!$B$2:$B$11,MATCH(Datos_Ventas!D14,Productos!$A$2:$A$11,0))</f>
        <v>Shampoo Mascotas</v>
      </c>
      <c r="F14" t="str">
        <f>INDEX(Productos!$C$2:$C$11,MATCH(Datos_Ventas!D14,Productos!$A$2:$A$11,0))</f>
        <v>Higiene</v>
      </c>
      <c r="G14" t="str">
        <f>INDEX(Clientes!$B$2:$B$11,MATCH(Datos_Ventas!C14,Clientes!$A$2:$A$11,0))</f>
        <v>Autoservicio Norte</v>
      </c>
      <c r="H14" t="str">
        <f>INDEX(Clientes!$C$2:$C$11,MATCH(Datos_Ventas!C14,Clientes!$A$2:$A$11,0))</f>
        <v>Retail</v>
      </c>
      <c r="I14" t="str">
        <f>INDEX(Clientes!$D$2:$D$11,MATCH(Datos_Ventas!C14,Clientes!$A$2:$A$11,0))</f>
        <v>Las Heras</v>
      </c>
      <c r="J14">
        <f>Datos_Ventas!E14</f>
        <v>36</v>
      </c>
      <c r="K14" s="29">
        <f>Datos_Ventas!F14</f>
        <v>3730</v>
      </c>
      <c r="L14" s="29">
        <f>Datos_Ventas!G14</f>
        <v>134280</v>
      </c>
      <c r="M14" s="29">
        <f>J14*INDEX(Productos!$D$2:$D$11,MATCH(Datos_Ventas!D14,Productos!$A$2:$A$11,0))</f>
        <v>79200</v>
      </c>
      <c r="N14" s="29">
        <f t="shared" si="2"/>
        <v>55080</v>
      </c>
      <c r="O14" s="30">
        <f>K14/INDEX(Productos!$E$2:$E$11,MATCH(Datos_Ventas!D14,Productos!$A$2:$A$11,0))-1</f>
        <v>-4.3589743589743546E-2</v>
      </c>
      <c r="P14">
        <f t="shared" si="3"/>
        <v>1</v>
      </c>
    </row>
    <row r="15" spans="1:16" x14ac:dyDescent="0.2">
      <c r="A15">
        <f>Datos_Ventas!A15</f>
        <v>14</v>
      </c>
      <c r="B15" s="13">
        <f>Datos_Ventas!B15</f>
        <v>46029</v>
      </c>
      <c r="C15" t="str">
        <f t="shared" si="0"/>
        <v>01 Ene</v>
      </c>
      <c r="D15" t="str">
        <f t="shared" si="1"/>
        <v>T1</v>
      </c>
      <c r="E15" t="str">
        <f>INDEX(Productos!$B$2:$B$11,MATCH(Datos_Ventas!D15,Productos!$A$2:$A$11,0))</f>
        <v>Collar Ajustable</v>
      </c>
      <c r="F15" t="str">
        <f>INDEX(Productos!$C$2:$C$11,MATCH(Datos_Ventas!D15,Productos!$A$2:$A$11,0))</f>
        <v>Accesorios</v>
      </c>
      <c r="G15" t="str">
        <f>INDEX(Clientes!$B$2:$B$11,MATCH(Datos_Ventas!C15,Clientes!$A$2:$A$11,0))</f>
        <v>Almacén Don Pedro</v>
      </c>
      <c r="H15" t="str">
        <f>INDEX(Clientes!$C$2:$C$11,MATCH(Datos_Ventas!C15,Clientes!$A$2:$A$11,0))</f>
        <v>Minorista</v>
      </c>
      <c r="I15" t="str">
        <f>INDEX(Clientes!$D$2:$D$11,MATCH(Datos_Ventas!C15,Clientes!$A$2:$A$11,0))</f>
        <v>Maipú</v>
      </c>
      <c r="J15">
        <f>Datos_Ventas!E15</f>
        <v>18</v>
      </c>
      <c r="K15" s="29">
        <f>Datos_Ventas!F15</f>
        <v>3410</v>
      </c>
      <c r="L15" s="29">
        <f>Datos_Ventas!G15</f>
        <v>61380</v>
      </c>
      <c r="M15" s="29">
        <f>J15*INDEX(Productos!$D$2:$D$11,MATCH(Datos_Ventas!D15,Productos!$A$2:$A$11,0))</f>
        <v>34200</v>
      </c>
      <c r="N15" s="29">
        <f t="shared" si="2"/>
        <v>27180</v>
      </c>
      <c r="O15" s="30">
        <f>K15/INDEX(Productos!$E$2:$E$11,MATCH(Datos_Ventas!D15,Productos!$A$2:$A$11,0))-1</f>
        <v>-5.2777777777777812E-2</v>
      </c>
      <c r="P15">
        <f t="shared" si="3"/>
        <v>1</v>
      </c>
    </row>
    <row r="16" spans="1:16" x14ac:dyDescent="0.2">
      <c r="A16">
        <f>Datos_Ventas!A16</f>
        <v>15</v>
      </c>
      <c r="B16" s="13">
        <f>Datos_Ventas!B16</f>
        <v>46029</v>
      </c>
      <c r="C16" t="str">
        <f t="shared" si="0"/>
        <v>01 Ene</v>
      </c>
      <c r="D16" t="str">
        <f t="shared" si="1"/>
        <v>T1</v>
      </c>
      <c r="E16" t="str">
        <f>INDEX(Productos!$B$2:$B$11,MATCH(Datos_Ventas!D16,Productos!$A$2:$A$11,0))</f>
        <v>Snack Dental</v>
      </c>
      <c r="F16" t="str">
        <f>INDEX(Productos!$C$2:$C$11,MATCH(Datos_Ventas!D16,Productos!$A$2:$A$11,0))</f>
        <v>Snacks</v>
      </c>
      <c r="G16" t="str">
        <f>INDEX(Clientes!$B$2:$B$11,MATCH(Datos_Ventas!C16,Clientes!$A$2:$A$11,0))</f>
        <v>Despensa Vero</v>
      </c>
      <c r="H16" t="str">
        <f>INDEX(Clientes!$C$2:$C$11,MATCH(Datos_Ventas!C16,Clientes!$A$2:$A$11,0))</f>
        <v>Minorista</v>
      </c>
      <c r="I16" t="str">
        <f>INDEX(Clientes!$D$2:$D$11,MATCH(Datos_Ventas!C16,Clientes!$A$2:$A$11,0))</f>
        <v>Mendoza</v>
      </c>
      <c r="J16">
        <f>Datos_Ventas!E16</f>
        <v>16</v>
      </c>
      <c r="K16" s="29">
        <f>Datos_Ventas!F16</f>
        <v>3190</v>
      </c>
      <c r="L16" s="29">
        <f>Datos_Ventas!G16</f>
        <v>51040</v>
      </c>
      <c r="M16" s="29">
        <f>J16*INDEX(Productos!$D$2:$D$11,MATCH(Datos_Ventas!D16,Productos!$A$2:$A$11,0))</f>
        <v>28800</v>
      </c>
      <c r="N16" s="29">
        <f t="shared" si="2"/>
        <v>22240</v>
      </c>
      <c r="O16" s="30">
        <f>K16/INDEX(Productos!$E$2:$E$11,MATCH(Datos_Ventas!D16,Productos!$A$2:$A$11,0))-1</f>
        <v>-3.1250000000000444E-3</v>
      </c>
      <c r="P16">
        <f t="shared" si="3"/>
        <v>1</v>
      </c>
    </row>
    <row r="17" spans="1:16" x14ac:dyDescent="0.2">
      <c r="A17">
        <f>Datos_Ventas!A17</f>
        <v>16</v>
      </c>
      <c r="B17" s="13">
        <f>Datos_Ventas!B17</f>
        <v>46029</v>
      </c>
      <c r="C17" t="str">
        <f t="shared" si="0"/>
        <v>01 Ene</v>
      </c>
      <c r="D17" t="str">
        <f t="shared" si="1"/>
        <v>T1</v>
      </c>
      <c r="E17" t="str">
        <f>INDEX(Productos!$B$2:$B$11,MATCH(Datos_Ventas!D17,Productos!$A$2:$A$11,0))</f>
        <v>Galletas Perro</v>
      </c>
      <c r="F17" t="str">
        <f>INDEX(Productos!$C$2:$C$11,MATCH(Datos_Ventas!D17,Productos!$A$2:$A$11,0))</f>
        <v>Snacks</v>
      </c>
      <c r="G17" t="str">
        <f>INDEX(Clientes!$B$2:$B$11,MATCH(Datos_Ventas!C17,Clientes!$A$2:$A$11,0))</f>
        <v>Distribuidora Andes</v>
      </c>
      <c r="H17" t="str">
        <f>INDEX(Clientes!$C$2:$C$11,MATCH(Datos_Ventas!C17,Clientes!$A$2:$A$11,0))</f>
        <v>Mayorista</v>
      </c>
      <c r="I17" t="str">
        <f>INDEX(Clientes!$D$2:$D$11,MATCH(Datos_Ventas!C17,Clientes!$A$2:$A$11,0))</f>
        <v>Mendoza</v>
      </c>
      <c r="J17">
        <f>Datos_Ventas!E17</f>
        <v>32</v>
      </c>
      <c r="K17" s="29">
        <f>Datos_Ventas!F17</f>
        <v>2490</v>
      </c>
      <c r="L17" s="29">
        <f>Datos_Ventas!G17</f>
        <v>79680</v>
      </c>
      <c r="M17" s="29">
        <f>J17*INDEX(Productos!$D$2:$D$11,MATCH(Datos_Ventas!D17,Productos!$A$2:$A$11,0))</f>
        <v>48000</v>
      </c>
      <c r="N17" s="29">
        <f t="shared" si="2"/>
        <v>31680</v>
      </c>
      <c r="O17" s="30">
        <f>K17/INDEX(Productos!$E$2:$E$11,MATCH(Datos_Ventas!D17,Productos!$A$2:$A$11,0))-1</f>
        <v>-7.7777777777777724E-2</v>
      </c>
      <c r="P17">
        <f t="shared" si="3"/>
        <v>1</v>
      </c>
    </row>
    <row r="18" spans="1:16" x14ac:dyDescent="0.2">
      <c r="A18">
        <f>Datos_Ventas!A18</f>
        <v>17</v>
      </c>
      <c r="B18" s="13">
        <f>Datos_Ventas!B18</f>
        <v>46030</v>
      </c>
      <c r="C18" t="str">
        <f t="shared" si="0"/>
        <v>01 Ene</v>
      </c>
      <c r="D18" t="str">
        <f t="shared" si="1"/>
        <v>T1</v>
      </c>
      <c r="E18" t="str">
        <f>INDEX(Productos!$B$2:$B$11,MATCH(Datos_Ventas!D18,Productos!$A$2:$A$11,0))</f>
        <v>Aceite Omega</v>
      </c>
      <c r="F18" t="str">
        <f>INDEX(Productos!$C$2:$C$11,MATCH(Datos_Ventas!D18,Productos!$A$2:$A$11,0))</f>
        <v>Suplementos</v>
      </c>
      <c r="G18" t="str">
        <f>INDEX(Clientes!$B$2:$B$11,MATCH(Datos_Ventas!C18,Clientes!$A$2:$A$11,0))</f>
        <v>Supermercado Cuyo</v>
      </c>
      <c r="H18" t="str">
        <f>INDEX(Clientes!$C$2:$C$11,MATCH(Datos_Ventas!C18,Clientes!$A$2:$A$11,0))</f>
        <v>Retail</v>
      </c>
      <c r="I18" t="str">
        <f>INDEX(Clientes!$D$2:$D$11,MATCH(Datos_Ventas!C18,Clientes!$A$2:$A$11,0))</f>
        <v>Guaymallén</v>
      </c>
      <c r="J18">
        <f>Datos_Ventas!E18</f>
        <v>32</v>
      </c>
      <c r="K18" s="29">
        <f>Datos_Ventas!F18</f>
        <v>5730</v>
      </c>
      <c r="L18" s="29">
        <f>Datos_Ventas!G18</f>
        <v>183360</v>
      </c>
      <c r="M18" s="29">
        <f>J18*INDEX(Productos!$D$2:$D$11,MATCH(Datos_Ventas!D18,Productos!$A$2:$A$11,0))</f>
        <v>99200</v>
      </c>
      <c r="N18" s="29">
        <f t="shared" si="2"/>
        <v>84160</v>
      </c>
      <c r="O18" s="30">
        <f>K18/INDEX(Productos!$E$2:$E$11,MATCH(Datos_Ventas!D18,Productos!$A$2:$A$11,0))-1</f>
        <v>2.3214285714285632E-2</v>
      </c>
      <c r="P18">
        <f t="shared" si="3"/>
        <v>1</v>
      </c>
    </row>
    <row r="19" spans="1:16" x14ac:dyDescent="0.2">
      <c r="A19">
        <f>Datos_Ventas!A19</f>
        <v>19</v>
      </c>
      <c r="B19" s="13">
        <f>Datos_Ventas!B19</f>
        <v>46031</v>
      </c>
      <c r="C19" t="str">
        <f t="shared" si="0"/>
        <v>01 Ene</v>
      </c>
      <c r="D19" t="str">
        <f t="shared" si="1"/>
        <v>T1</v>
      </c>
      <c r="E19" t="str">
        <f>INDEX(Productos!$B$2:$B$11,MATCH(Datos_Ventas!D19,Productos!$A$2:$A$11,0))</f>
        <v>Correa Reforzada</v>
      </c>
      <c r="F19" t="str">
        <f>INDEX(Productos!$C$2:$C$11,MATCH(Datos_Ventas!D19,Productos!$A$2:$A$11,0))</f>
        <v>Accesorios</v>
      </c>
      <c r="G19" t="str">
        <f>INDEX(Clientes!$B$2:$B$11,MATCH(Datos_Ventas!C19,Clientes!$A$2:$A$11,0))</f>
        <v>Almacén Don Pedro</v>
      </c>
      <c r="H19" t="str">
        <f>INDEX(Clientes!$C$2:$C$11,MATCH(Datos_Ventas!C19,Clientes!$A$2:$A$11,0))</f>
        <v>Minorista</v>
      </c>
      <c r="I19" t="str">
        <f>INDEX(Clientes!$D$2:$D$11,MATCH(Datos_Ventas!C19,Clientes!$A$2:$A$11,0))</f>
        <v>Maipú</v>
      </c>
      <c r="J19">
        <f>Datos_Ventas!E19</f>
        <v>19</v>
      </c>
      <c r="K19" s="29">
        <f>Datos_Ventas!F19</f>
        <v>4870</v>
      </c>
      <c r="L19" s="29">
        <f>Datos_Ventas!G19</f>
        <v>92530</v>
      </c>
      <c r="M19" s="29">
        <f>J19*INDEX(Productos!$D$2:$D$11,MATCH(Datos_Ventas!D19,Productos!$A$2:$A$11,0))</f>
        <v>53200</v>
      </c>
      <c r="N19" s="29">
        <f t="shared" si="2"/>
        <v>39330</v>
      </c>
      <c r="O19" s="30">
        <f>K19/INDEX(Productos!$E$2:$E$11,MATCH(Datos_Ventas!D19,Productos!$A$2:$A$11,0))-1</f>
        <v>-6.3461538461538458E-2</v>
      </c>
      <c r="P19">
        <f t="shared" si="3"/>
        <v>1</v>
      </c>
    </row>
    <row r="20" spans="1:16" x14ac:dyDescent="0.2">
      <c r="A20">
        <f>Datos_Ventas!A20</f>
        <v>20</v>
      </c>
      <c r="B20" s="13">
        <f>Datos_Ventas!B20</f>
        <v>46032</v>
      </c>
      <c r="C20" t="str">
        <f t="shared" si="0"/>
        <v>01 Ene</v>
      </c>
      <c r="D20" t="str">
        <f t="shared" si="1"/>
        <v>T1</v>
      </c>
      <c r="E20" t="str">
        <f>INDEX(Productos!$B$2:$B$11,MATCH(Datos_Ventas!D20,Productos!$A$2:$A$11,0))</f>
        <v>Collar Ajustable</v>
      </c>
      <c r="F20" t="str">
        <f>INDEX(Productos!$C$2:$C$11,MATCH(Datos_Ventas!D20,Productos!$A$2:$A$11,0))</f>
        <v>Accesorios</v>
      </c>
      <c r="G20" t="str">
        <f>INDEX(Clientes!$B$2:$B$11,MATCH(Datos_Ventas!C20,Clientes!$A$2:$A$11,0))</f>
        <v>Distribuidora Andes</v>
      </c>
      <c r="H20" t="str">
        <f>INDEX(Clientes!$C$2:$C$11,MATCH(Datos_Ventas!C20,Clientes!$A$2:$A$11,0))</f>
        <v>Mayorista</v>
      </c>
      <c r="I20" t="str">
        <f>INDEX(Clientes!$D$2:$D$11,MATCH(Datos_Ventas!C20,Clientes!$A$2:$A$11,0))</f>
        <v>Mendoza</v>
      </c>
      <c r="J20">
        <f>Datos_Ventas!E20</f>
        <v>18</v>
      </c>
      <c r="K20" s="29">
        <f>Datos_Ventas!F20</f>
        <v>3370</v>
      </c>
      <c r="L20" s="29">
        <f>Datos_Ventas!G20</f>
        <v>60660</v>
      </c>
      <c r="M20" s="29">
        <f>J20*INDEX(Productos!$D$2:$D$11,MATCH(Datos_Ventas!D20,Productos!$A$2:$A$11,0))</f>
        <v>34200</v>
      </c>
      <c r="N20" s="29">
        <f t="shared" si="2"/>
        <v>26460</v>
      </c>
      <c r="O20" s="30">
        <f>K20/INDEX(Productos!$E$2:$E$11,MATCH(Datos_Ventas!D20,Productos!$A$2:$A$11,0))-1</f>
        <v>-6.3888888888888884E-2</v>
      </c>
      <c r="P20">
        <f t="shared" si="3"/>
        <v>1</v>
      </c>
    </row>
    <row r="21" spans="1:16" x14ac:dyDescent="0.2">
      <c r="A21">
        <f>Datos_Ventas!A21</f>
        <v>21</v>
      </c>
      <c r="B21" s="13">
        <f>Datos_Ventas!B21</f>
        <v>46032</v>
      </c>
      <c r="C21" t="str">
        <f t="shared" si="0"/>
        <v>01 Ene</v>
      </c>
      <c r="D21" t="str">
        <f t="shared" si="1"/>
        <v>T1</v>
      </c>
      <c r="E21" t="str">
        <f>INDEX(Productos!$B$2:$B$11,MATCH(Datos_Ventas!D21,Productos!$A$2:$A$11,0))</f>
        <v>Shampoo Mascotas</v>
      </c>
      <c r="F21" t="str">
        <f>INDEX(Productos!$C$2:$C$11,MATCH(Datos_Ventas!D21,Productos!$A$2:$A$11,0))</f>
        <v>Higiene</v>
      </c>
      <c r="G21" t="str">
        <f>INDEX(Clientes!$B$2:$B$11,MATCH(Datos_Ventas!C21,Clientes!$A$2:$A$11,0))</f>
        <v>Autoservicio Norte</v>
      </c>
      <c r="H21" t="str">
        <f>INDEX(Clientes!$C$2:$C$11,MATCH(Datos_Ventas!C21,Clientes!$A$2:$A$11,0))</f>
        <v>Retail</v>
      </c>
      <c r="I21" t="str">
        <f>INDEX(Clientes!$D$2:$D$11,MATCH(Datos_Ventas!C21,Clientes!$A$2:$A$11,0))</f>
        <v>Las Heras</v>
      </c>
      <c r="J21">
        <f>Datos_Ventas!E21</f>
        <v>39</v>
      </c>
      <c r="K21" s="29">
        <f>Datos_Ventas!F21</f>
        <v>3870</v>
      </c>
      <c r="L21" s="29">
        <f>Datos_Ventas!G21</f>
        <v>150930</v>
      </c>
      <c r="M21" s="29">
        <f>J21*INDEX(Productos!$D$2:$D$11,MATCH(Datos_Ventas!D21,Productos!$A$2:$A$11,0))</f>
        <v>85800</v>
      </c>
      <c r="N21" s="29">
        <f t="shared" si="2"/>
        <v>65130</v>
      </c>
      <c r="O21" s="30">
        <f>K21/INDEX(Productos!$E$2:$E$11,MATCH(Datos_Ventas!D21,Productos!$A$2:$A$11,0))-1</f>
        <v>-7.692307692307665E-3</v>
      </c>
      <c r="P21">
        <f t="shared" si="3"/>
        <v>1</v>
      </c>
    </row>
    <row r="22" spans="1:16" x14ac:dyDescent="0.2">
      <c r="A22">
        <f>Datos_Ventas!A22</f>
        <v>22</v>
      </c>
      <c r="B22" s="13">
        <f>Datos_Ventas!B22</f>
        <v>46033</v>
      </c>
      <c r="C22" t="str">
        <f t="shared" si="0"/>
        <v>01 Ene</v>
      </c>
      <c r="D22" t="str">
        <f t="shared" si="1"/>
        <v>T1</v>
      </c>
      <c r="E22" t="str">
        <f>INDEX(Productos!$B$2:$B$11,MATCH(Datos_Ventas!D22,Productos!$A$2:$A$11,0))</f>
        <v>Juguete Pelota</v>
      </c>
      <c r="F22" t="str">
        <f>INDEX(Productos!$C$2:$C$11,MATCH(Datos_Ventas!D22,Productos!$A$2:$A$11,0))</f>
        <v>Accesorios</v>
      </c>
      <c r="G22" t="str">
        <f>INDEX(Clientes!$B$2:$B$11,MATCH(Datos_Ventas!C22,Clientes!$A$2:$A$11,0))</f>
        <v>Hiper Centro</v>
      </c>
      <c r="H22" t="str">
        <f>INDEX(Clientes!$C$2:$C$11,MATCH(Datos_Ventas!C22,Clientes!$A$2:$A$11,0))</f>
        <v>Retail</v>
      </c>
      <c r="I22" t="str">
        <f>INDEX(Clientes!$D$2:$D$11,MATCH(Datos_Ventas!C22,Clientes!$A$2:$A$11,0))</f>
        <v>Luján de Cuyo</v>
      </c>
      <c r="J22">
        <f>Datos_Ventas!E22</f>
        <v>30</v>
      </c>
      <c r="K22" s="29">
        <f>Datos_Ventas!F22</f>
        <v>1930</v>
      </c>
      <c r="L22" s="29">
        <f>Datos_Ventas!G22</f>
        <v>57900</v>
      </c>
      <c r="M22" s="29">
        <f>J22*INDEX(Productos!$D$2:$D$11,MATCH(Datos_Ventas!D22,Productos!$A$2:$A$11,0))</f>
        <v>27000</v>
      </c>
      <c r="N22" s="29">
        <f t="shared" si="2"/>
        <v>30900</v>
      </c>
      <c r="O22" s="30">
        <f>K22/INDEX(Productos!$E$2:$E$11,MATCH(Datos_Ventas!D22,Productos!$A$2:$A$11,0))-1</f>
        <v>7.2222222222222188E-2</v>
      </c>
      <c r="P22">
        <f t="shared" si="3"/>
        <v>1</v>
      </c>
    </row>
    <row r="23" spans="1:16" x14ac:dyDescent="0.2">
      <c r="A23">
        <f>Datos_Ventas!A23</f>
        <v>23</v>
      </c>
      <c r="B23" s="13">
        <f>Datos_Ventas!B23</f>
        <v>46033</v>
      </c>
      <c r="C23" t="str">
        <f t="shared" si="0"/>
        <v>01 Ene</v>
      </c>
      <c r="D23" t="str">
        <f t="shared" si="1"/>
        <v>T1</v>
      </c>
      <c r="E23" t="str">
        <f>INDEX(Productos!$B$2:$B$11,MATCH(Datos_Ventas!D23,Productos!$A$2:$A$11,0))</f>
        <v>Arena Sanitaria</v>
      </c>
      <c r="F23" t="str">
        <f>INDEX(Productos!$C$2:$C$11,MATCH(Datos_Ventas!D23,Productos!$A$2:$A$11,0))</f>
        <v>Higiene</v>
      </c>
      <c r="G23" t="str">
        <f>INDEX(Clientes!$B$2:$B$11,MATCH(Datos_Ventas!C23,Clientes!$A$2:$A$11,0))</f>
        <v>Pet Shop Mascotas</v>
      </c>
      <c r="H23" t="str">
        <f>INDEX(Clientes!$C$2:$C$11,MATCH(Datos_Ventas!C23,Clientes!$A$2:$A$11,0))</f>
        <v>Especializado</v>
      </c>
      <c r="I23" t="str">
        <f>INDEX(Clientes!$D$2:$D$11,MATCH(Datos_Ventas!C23,Clientes!$A$2:$A$11,0))</f>
        <v>Mendoza</v>
      </c>
      <c r="J23">
        <f>Datos_Ventas!E23</f>
        <v>29</v>
      </c>
      <c r="K23" s="29">
        <f>Datos_Ventas!F23</f>
        <v>4360</v>
      </c>
      <c r="L23" s="29">
        <f>Datos_Ventas!G23</f>
        <v>126440</v>
      </c>
      <c r="M23" s="29">
        <f>J23*INDEX(Productos!$D$2:$D$11,MATCH(Datos_Ventas!D23,Productos!$A$2:$A$11,0))</f>
        <v>75400</v>
      </c>
      <c r="N23" s="29">
        <f t="shared" si="2"/>
        <v>51040</v>
      </c>
      <c r="O23" s="30">
        <f>K23/INDEX(Productos!$E$2:$E$11,MATCH(Datos_Ventas!D23,Productos!$A$2:$A$11,0))-1</f>
        <v>-9.0909090909090384E-3</v>
      </c>
      <c r="P23">
        <f t="shared" si="3"/>
        <v>1</v>
      </c>
    </row>
    <row r="24" spans="1:16" x14ac:dyDescent="0.2">
      <c r="A24">
        <f>Datos_Ventas!A24</f>
        <v>24</v>
      </c>
      <c r="B24" s="13">
        <f>Datos_Ventas!B24</f>
        <v>46034</v>
      </c>
      <c r="C24" t="str">
        <f t="shared" si="0"/>
        <v>01 Ene</v>
      </c>
      <c r="D24" t="str">
        <f t="shared" si="1"/>
        <v>T1</v>
      </c>
      <c r="E24" t="str">
        <f>INDEX(Productos!$B$2:$B$11,MATCH(Datos_Ventas!D24,Productos!$A$2:$A$11,0))</f>
        <v>Correa Reforzada</v>
      </c>
      <c r="F24" t="str">
        <f>INDEX(Productos!$C$2:$C$11,MATCH(Datos_Ventas!D24,Productos!$A$2:$A$11,0))</f>
        <v>Accesorios</v>
      </c>
      <c r="G24" t="str">
        <f>INDEX(Clientes!$B$2:$B$11,MATCH(Datos_Ventas!C24,Clientes!$A$2:$A$11,0))</f>
        <v>Autoservicio Norte</v>
      </c>
      <c r="H24" t="str">
        <f>INDEX(Clientes!$C$2:$C$11,MATCH(Datos_Ventas!C24,Clientes!$A$2:$A$11,0))</f>
        <v>Retail</v>
      </c>
      <c r="I24" t="str">
        <f>INDEX(Clientes!$D$2:$D$11,MATCH(Datos_Ventas!C24,Clientes!$A$2:$A$11,0))</f>
        <v>Las Heras</v>
      </c>
      <c r="J24">
        <f>Datos_Ventas!E24</f>
        <v>10</v>
      </c>
      <c r="K24" s="29">
        <f>Datos_Ventas!F24</f>
        <v>4880</v>
      </c>
      <c r="L24" s="29">
        <f>Datos_Ventas!G24</f>
        <v>48800</v>
      </c>
      <c r="M24" s="29">
        <f>J24*INDEX(Productos!$D$2:$D$11,MATCH(Datos_Ventas!D24,Productos!$A$2:$A$11,0))</f>
        <v>28000</v>
      </c>
      <c r="N24" s="29">
        <f t="shared" si="2"/>
        <v>20800</v>
      </c>
      <c r="O24" s="30">
        <f>K24/INDEX(Productos!$E$2:$E$11,MATCH(Datos_Ventas!D24,Productos!$A$2:$A$11,0))-1</f>
        <v>-6.1538461538461542E-2</v>
      </c>
      <c r="P24">
        <f t="shared" si="3"/>
        <v>1</v>
      </c>
    </row>
    <row r="25" spans="1:16" x14ac:dyDescent="0.2">
      <c r="A25">
        <f>Datos_Ventas!A25</f>
        <v>25</v>
      </c>
      <c r="B25" s="13">
        <f>Datos_Ventas!B25</f>
        <v>46035</v>
      </c>
      <c r="C25" t="str">
        <f t="shared" si="0"/>
        <v>01 Ene</v>
      </c>
      <c r="D25" t="str">
        <f t="shared" si="1"/>
        <v>T1</v>
      </c>
      <c r="E25" t="str">
        <f>INDEX(Productos!$B$2:$B$11,MATCH(Datos_Ventas!D25,Productos!$A$2:$A$11,0))</f>
        <v>Collar Ajustable</v>
      </c>
      <c r="F25" t="str">
        <f>INDEX(Productos!$C$2:$C$11,MATCH(Datos_Ventas!D25,Productos!$A$2:$A$11,0))</f>
        <v>Accesorios</v>
      </c>
      <c r="G25" t="str">
        <f>INDEX(Clientes!$B$2:$B$11,MATCH(Datos_Ventas!C25,Clientes!$A$2:$A$11,0))</f>
        <v>Hiper Centro</v>
      </c>
      <c r="H25" t="str">
        <f>INDEX(Clientes!$C$2:$C$11,MATCH(Datos_Ventas!C25,Clientes!$A$2:$A$11,0))</f>
        <v>Retail</v>
      </c>
      <c r="I25" t="str">
        <f>INDEX(Clientes!$D$2:$D$11,MATCH(Datos_Ventas!C25,Clientes!$A$2:$A$11,0))</f>
        <v>Luján de Cuyo</v>
      </c>
      <c r="J25">
        <f>Datos_Ventas!E25</f>
        <v>11</v>
      </c>
      <c r="K25" s="29">
        <f>Datos_Ventas!F25</f>
        <v>3670</v>
      </c>
      <c r="L25" s="29">
        <f>Datos_Ventas!G25</f>
        <v>40370</v>
      </c>
      <c r="M25" s="29">
        <f>J25*INDEX(Productos!$D$2:$D$11,MATCH(Datos_Ventas!D25,Productos!$A$2:$A$11,0))</f>
        <v>20900</v>
      </c>
      <c r="N25" s="29">
        <f t="shared" si="2"/>
        <v>19470</v>
      </c>
      <c r="O25" s="30">
        <f>K25/INDEX(Productos!$E$2:$E$11,MATCH(Datos_Ventas!D25,Productos!$A$2:$A$11,0))-1</f>
        <v>1.9444444444444375E-2</v>
      </c>
      <c r="P25">
        <f t="shared" si="3"/>
        <v>1</v>
      </c>
    </row>
    <row r="26" spans="1:16" x14ac:dyDescent="0.2">
      <c r="A26">
        <f>Datos_Ventas!A26</f>
        <v>26</v>
      </c>
      <c r="B26" s="13">
        <f>Datos_Ventas!B26</f>
        <v>46036</v>
      </c>
      <c r="C26" t="str">
        <f t="shared" si="0"/>
        <v>01 Ene</v>
      </c>
      <c r="D26" t="str">
        <f t="shared" si="1"/>
        <v>T1</v>
      </c>
      <c r="E26" t="str">
        <f>INDEX(Productos!$B$2:$B$11,MATCH(Datos_Ventas!D26,Productos!$A$2:$A$11,0))</f>
        <v>Juguete Pelota</v>
      </c>
      <c r="F26" t="str">
        <f>INDEX(Productos!$C$2:$C$11,MATCH(Datos_Ventas!D26,Productos!$A$2:$A$11,0))</f>
        <v>Accesorios</v>
      </c>
      <c r="G26" t="str">
        <f>INDEX(Clientes!$B$2:$B$11,MATCH(Datos_Ventas!C26,Clientes!$A$2:$A$11,0))</f>
        <v>Kiosco La Esquina</v>
      </c>
      <c r="H26" t="str">
        <f>INDEX(Clientes!$C$2:$C$11,MATCH(Datos_Ventas!C26,Clientes!$A$2:$A$11,0))</f>
        <v>Minorista</v>
      </c>
      <c r="I26" t="str">
        <f>INDEX(Clientes!$D$2:$D$11,MATCH(Datos_Ventas!C26,Clientes!$A$2:$A$11,0))</f>
        <v>Godoy Cruz</v>
      </c>
      <c r="J26">
        <f>Datos_Ventas!E26</f>
        <v>20</v>
      </c>
      <c r="K26" s="29">
        <f>Datos_Ventas!F26</f>
        <v>1680</v>
      </c>
      <c r="L26" s="29">
        <f>Datos_Ventas!G26</f>
        <v>33600</v>
      </c>
      <c r="M26" s="29">
        <f>J26*INDEX(Productos!$D$2:$D$11,MATCH(Datos_Ventas!D26,Productos!$A$2:$A$11,0))</f>
        <v>18000</v>
      </c>
      <c r="N26" s="29">
        <f t="shared" si="2"/>
        <v>15600</v>
      </c>
      <c r="O26" s="30">
        <f>K26/INDEX(Productos!$E$2:$E$11,MATCH(Datos_Ventas!D26,Productos!$A$2:$A$11,0))-1</f>
        <v>-6.6666666666666652E-2</v>
      </c>
      <c r="P26">
        <f t="shared" si="3"/>
        <v>1</v>
      </c>
    </row>
    <row r="27" spans="1:16" x14ac:dyDescent="0.2">
      <c r="A27">
        <f>Datos_Ventas!A27</f>
        <v>27</v>
      </c>
      <c r="B27" s="13">
        <f>Datos_Ventas!B27</f>
        <v>46037</v>
      </c>
      <c r="C27" t="str">
        <f t="shared" si="0"/>
        <v>01 Ene</v>
      </c>
      <c r="D27" t="str">
        <f t="shared" si="1"/>
        <v>T1</v>
      </c>
      <c r="E27" t="str">
        <f>INDEX(Productos!$B$2:$B$11,MATCH(Datos_Ventas!D27,Productos!$A$2:$A$11,0))</f>
        <v>Alimento Premium 10kg</v>
      </c>
      <c r="F27" t="str">
        <f>INDEX(Productos!$C$2:$C$11,MATCH(Datos_Ventas!D27,Productos!$A$2:$A$11,0))</f>
        <v>Alimentos</v>
      </c>
      <c r="G27" t="str">
        <f>INDEX(Clientes!$B$2:$B$11,MATCH(Datos_Ventas!C27,Clientes!$A$2:$A$11,0))</f>
        <v>Distribuidora Andes</v>
      </c>
      <c r="H27" t="str">
        <f>INDEX(Clientes!$C$2:$C$11,MATCH(Datos_Ventas!C27,Clientes!$A$2:$A$11,0))</f>
        <v>Mayorista</v>
      </c>
      <c r="I27" t="str">
        <f>INDEX(Clientes!$D$2:$D$11,MATCH(Datos_Ventas!C27,Clientes!$A$2:$A$11,0))</f>
        <v>Mendoza</v>
      </c>
      <c r="J27">
        <f>Datos_Ventas!E27</f>
        <v>4</v>
      </c>
      <c r="K27" s="29">
        <f>Datos_Ventas!F27</f>
        <v>20310</v>
      </c>
      <c r="L27" s="29">
        <f>Datos_Ventas!G27</f>
        <v>81240</v>
      </c>
      <c r="M27" s="29">
        <f>J27*INDEX(Productos!$D$2:$D$11,MATCH(Datos_Ventas!D27,Productos!$A$2:$A$11,0))</f>
        <v>50000</v>
      </c>
      <c r="N27" s="29">
        <f t="shared" si="2"/>
        <v>31240</v>
      </c>
      <c r="O27" s="30">
        <f>K27/INDEX(Productos!$E$2:$E$11,MATCH(Datos_Ventas!D27,Productos!$A$2:$A$11,0))-1</f>
        <v>7.460317460317456E-2</v>
      </c>
      <c r="P27">
        <f t="shared" si="3"/>
        <v>1</v>
      </c>
    </row>
    <row r="28" spans="1:16" x14ac:dyDescent="0.2">
      <c r="A28">
        <f>Datos_Ventas!A28</f>
        <v>28</v>
      </c>
      <c r="B28" s="13">
        <f>Datos_Ventas!B28</f>
        <v>46038</v>
      </c>
      <c r="C28" t="str">
        <f t="shared" si="0"/>
        <v>01 Ene</v>
      </c>
      <c r="D28" t="str">
        <f t="shared" si="1"/>
        <v>T1</v>
      </c>
      <c r="E28" t="str">
        <f>INDEX(Productos!$B$2:$B$11,MATCH(Datos_Ventas!D28,Productos!$A$2:$A$11,0))</f>
        <v>Collar Ajustable</v>
      </c>
      <c r="F28" t="str">
        <f>INDEX(Productos!$C$2:$C$11,MATCH(Datos_Ventas!D28,Productos!$A$2:$A$11,0))</f>
        <v>Accesorios</v>
      </c>
      <c r="G28" t="str">
        <f>INDEX(Clientes!$B$2:$B$11,MATCH(Datos_Ventas!C28,Clientes!$A$2:$A$11,0))</f>
        <v>Pet Shop Mascotas</v>
      </c>
      <c r="H28" t="str">
        <f>INDEX(Clientes!$C$2:$C$11,MATCH(Datos_Ventas!C28,Clientes!$A$2:$A$11,0))</f>
        <v>Especializado</v>
      </c>
      <c r="I28" t="str">
        <f>INDEX(Clientes!$D$2:$D$11,MATCH(Datos_Ventas!C28,Clientes!$A$2:$A$11,0))</f>
        <v>Mendoza</v>
      </c>
      <c r="J28">
        <f>Datos_Ventas!E28</f>
        <v>4</v>
      </c>
      <c r="K28" s="29">
        <f>Datos_Ventas!F28</f>
        <v>3800</v>
      </c>
      <c r="L28" s="29">
        <f>Datos_Ventas!G28</f>
        <v>15200</v>
      </c>
      <c r="M28" s="29">
        <f>J28*INDEX(Productos!$D$2:$D$11,MATCH(Datos_Ventas!D28,Productos!$A$2:$A$11,0))</f>
        <v>7600</v>
      </c>
      <c r="N28" s="29">
        <f t="shared" si="2"/>
        <v>7600</v>
      </c>
      <c r="O28" s="30">
        <f>K28/INDEX(Productos!$E$2:$E$11,MATCH(Datos_Ventas!D28,Productos!$A$2:$A$11,0))-1</f>
        <v>5.555555555555558E-2</v>
      </c>
      <c r="P28">
        <f t="shared" si="3"/>
        <v>1</v>
      </c>
    </row>
    <row r="29" spans="1:16" x14ac:dyDescent="0.2">
      <c r="A29">
        <f>Datos_Ventas!A29</f>
        <v>29</v>
      </c>
      <c r="B29" s="13">
        <f>Datos_Ventas!B29</f>
        <v>46038</v>
      </c>
      <c r="C29" t="str">
        <f t="shared" si="0"/>
        <v>01 Ene</v>
      </c>
      <c r="D29" t="str">
        <f t="shared" si="1"/>
        <v>T1</v>
      </c>
      <c r="E29" t="str">
        <f>INDEX(Productos!$B$2:$B$11,MATCH(Datos_Ventas!D29,Productos!$A$2:$A$11,0))</f>
        <v>Snack Dental</v>
      </c>
      <c r="F29" t="str">
        <f>INDEX(Productos!$C$2:$C$11,MATCH(Datos_Ventas!D29,Productos!$A$2:$A$11,0))</f>
        <v>Snacks</v>
      </c>
      <c r="G29" t="str">
        <f>INDEX(Clientes!$B$2:$B$11,MATCH(Datos_Ventas!C29,Clientes!$A$2:$A$11,0))</f>
        <v>Distribuidora Andes</v>
      </c>
      <c r="H29" t="str">
        <f>INDEX(Clientes!$C$2:$C$11,MATCH(Datos_Ventas!C29,Clientes!$A$2:$A$11,0))</f>
        <v>Mayorista</v>
      </c>
      <c r="I29" t="str">
        <f>INDEX(Clientes!$D$2:$D$11,MATCH(Datos_Ventas!C29,Clientes!$A$2:$A$11,0))</f>
        <v>Mendoza</v>
      </c>
      <c r="J29">
        <f>Datos_Ventas!E29</f>
        <v>28</v>
      </c>
      <c r="K29" s="29">
        <f>Datos_Ventas!F29</f>
        <v>2980</v>
      </c>
      <c r="L29" s="29">
        <f>Datos_Ventas!G29</f>
        <v>83440</v>
      </c>
      <c r="M29" s="29">
        <f>J29*INDEX(Productos!$D$2:$D$11,MATCH(Datos_Ventas!D29,Productos!$A$2:$A$11,0))</f>
        <v>50400</v>
      </c>
      <c r="N29" s="29">
        <f t="shared" si="2"/>
        <v>33040</v>
      </c>
      <c r="O29" s="30">
        <f>K29/INDEX(Productos!$E$2:$E$11,MATCH(Datos_Ventas!D29,Productos!$A$2:$A$11,0))-1</f>
        <v>-6.8749999999999978E-2</v>
      </c>
      <c r="P29">
        <f t="shared" si="3"/>
        <v>1</v>
      </c>
    </row>
    <row r="30" spans="1:16" x14ac:dyDescent="0.2">
      <c r="A30">
        <f>Datos_Ventas!A30</f>
        <v>30</v>
      </c>
      <c r="B30" s="13">
        <f>Datos_Ventas!B30</f>
        <v>46038</v>
      </c>
      <c r="C30" t="str">
        <f t="shared" si="0"/>
        <v>01 Ene</v>
      </c>
      <c r="D30" t="str">
        <f t="shared" si="1"/>
        <v>T1</v>
      </c>
      <c r="E30" t="str">
        <f>INDEX(Productos!$B$2:$B$11,MATCH(Datos_Ventas!D30,Productos!$A$2:$A$11,0))</f>
        <v>Alimento Premium 10kg</v>
      </c>
      <c r="F30" t="str">
        <f>INDEX(Productos!$C$2:$C$11,MATCH(Datos_Ventas!D30,Productos!$A$2:$A$11,0))</f>
        <v>Alimentos</v>
      </c>
      <c r="G30" t="str">
        <f>INDEX(Clientes!$B$2:$B$11,MATCH(Datos_Ventas!C30,Clientes!$A$2:$A$11,0))</f>
        <v>Distribuidora Andes</v>
      </c>
      <c r="H30" t="str">
        <f>INDEX(Clientes!$C$2:$C$11,MATCH(Datos_Ventas!C30,Clientes!$A$2:$A$11,0))</f>
        <v>Mayorista</v>
      </c>
      <c r="I30" t="str">
        <f>INDEX(Clientes!$D$2:$D$11,MATCH(Datos_Ventas!C30,Clientes!$A$2:$A$11,0))</f>
        <v>Mendoza</v>
      </c>
      <c r="J30">
        <f>Datos_Ventas!E30</f>
        <v>40</v>
      </c>
      <c r="K30" s="29">
        <f>Datos_Ventas!F30</f>
        <v>18610</v>
      </c>
      <c r="L30" s="29">
        <f>Datos_Ventas!G30</f>
        <v>744400</v>
      </c>
      <c r="M30" s="29">
        <f>J30*INDEX(Productos!$D$2:$D$11,MATCH(Datos_Ventas!D30,Productos!$A$2:$A$11,0))</f>
        <v>500000</v>
      </c>
      <c r="N30" s="29">
        <f t="shared" si="2"/>
        <v>244400</v>
      </c>
      <c r="O30" s="30">
        <f>K30/INDEX(Productos!$E$2:$E$11,MATCH(Datos_Ventas!D30,Productos!$A$2:$A$11,0))-1</f>
        <v>-1.5343915343915326E-2</v>
      </c>
      <c r="P30">
        <f t="shared" si="3"/>
        <v>1</v>
      </c>
    </row>
    <row r="31" spans="1:16" x14ac:dyDescent="0.2">
      <c r="A31">
        <f>Datos_Ventas!A31</f>
        <v>31</v>
      </c>
      <c r="B31" s="13">
        <f>Datos_Ventas!B31</f>
        <v>46039</v>
      </c>
      <c r="C31" t="str">
        <f t="shared" si="0"/>
        <v>01 Ene</v>
      </c>
      <c r="D31" t="str">
        <f t="shared" si="1"/>
        <v>T1</v>
      </c>
      <c r="E31" t="str">
        <f>INDEX(Productos!$B$2:$B$11,MATCH(Datos_Ventas!D31,Productos!$A$2:$A$11,0))</f>
        <v>Shampoo Mascotas</v>
      </c>
      <c r="F31" t="str">
        <f>INDEX(Productos!$C$2:$C$11,MATCH(Datos_Ventas!D31,Productos!$A$2:$A$11,0))</f>
        <v>Higiene</v>
      </c>
      <c r="G31" t="str">
        <f>INDEX(Clientes!$B$2:$B$11,MATCH(Datos_Ventas!C31,Clientes!$A$2:$A$11,0))</f>
        <v>Autoservicio Norte</v>
      </c>
      <c r="H31" t="str">
        <f>INDEX(Clientes!$C$2:$C$11,MATCH(Datos_Ventas!C31,Clientes!$A$2:$A$11,0))</f>
        <v>Retail</v>
      </c>
      <c r="I31" t="str">
        <f>INDEX(Clientes!$D$2:$D$11,MATCH(Datos_Ventas!C31,Clientes!$A$2:$A$11,0))</f>
        <v>Las Heras</v>
      </c>
      <c r="J31">
        <f>Datos_Ventas!E31</f>
        <v>14</v>
      </c>
      <c r="K31" s="29">
        <f>Datos_Ventas!F31</f>
        <v>3660</v>
      </c>
      <c r="L31" s="29">
        <f>Datos_Ventas!G31</f>
        <v>51240</v>
      </c>
      <c r="M31" s="29">
        <f>J31*INDEX(Productos!$D$2:$D$11,MATCH(Datos_Ventas!D31,Productos!$A$2:$A$11,0))</f>
        <v>30800</v>
      </c>
      <c r="N31" s="29">
        <f t="shared" si="2"/>
        <v>20440</v>
      </c>
      <c r="O31" s="30">
        <f>K31/INDEX(Productos!$E$2:$E$11,MATCH(Datos_Ventas!D31,Productos!$A$2:$A$11,0))-1</f>
        <v>-6.1538461538461542E-2</v>
      </c>
      <c r="P31">
        <f t="shared" si="3"/>
        <v>1</v>
      </c>
    </row>
    <row r="32" spans="1:16" x14ac:dyDescent="0.2">
      <c r="A32">
        <f>Datos_Ventas!A32</f>
        <v>32</v>
      </c>
      <c r="B32" s="13">
        <f>Datos_Ventas!B32</f>
        <v>46039</v>
      </c>
      <c r="C32" t="str">
        <f t="shared" si="0"/>
        <v>01 Ene</v>
      </c>
      <c r="D32" t="str">
        <f t="shared" si="1"/>
        <v>T1</v>
      </c>
      <c r="E32" t="str">
        <f>INDEX(Productos!$B$2:$B$11,MATCH(Datos_Ventas!D32,Productos!$A$2:$A$11,0))</f>
        <v>Galletas Perro</v>
      </c>
      <c r="F32" t="str">
        <f>INDEX(Productos!$C$2:$C$11,MATCH(Datos_Ventas!D32,Productos!$A$2:$A$11,0))</f>
        <v>Snacks</v>
      </c>
      <c r="G32" t="str">
        <f>INDEX(Clientes!$B$2:$B$11,MATCH(Datos_Ventas!C32,Clientes!$A$2:$A$11,0))</f>
        <v>Supermercado Cuyo</v>
      </c>
      <c r="H32" t="str">
        <f>INDEX(Clientes!$C$2:$C$11,MATCH(Datos_Ventas!C32,Clientes!$A$2:$A$11,0))</f>
        <v>Retail</v>
      </c>
      <c r="I32" t="str">
        <f>INDEX(Clientes!$D$2:$D$11,MATCH(Datos_Ventas!C32,Clientes!$A$2:$A$11,0))</f>
        <v>Guaymallén</v>
      </c>
      <c r="J32">
        <f>Datos_Ventas!E32</f>
        <v>13</v>
      </c>
      <c r="K32" s="29">
        <f>Datos_Ventas!F32</f>
        <v>2500</v>
      </c>
      <c r="L32" s="29">
        <f>Datos_Ventas!G32</f>
        <v>32500</v>
      </c>
      <c r="M32" s="29">
        <f>J32*INDEX(Productos!$D$2:$D$11,MATCH(Datos_Ventas!D32,Productos!$A$2:$A$11,0))</f>
        <v>19500</v>
      </c>
      <c r="N32" s="29">
        <f t="shared" si="2"/>
        <v>13000</v>
      </c>
      <c r="O32" s="30">
        <f>K32/INDEX(Productos!$E$2:$E$11,MATCH(Datos_Ventas!D32,Productos!$A$2:$A$11,0))-1</f>
        <v>-7.407407407407407E-2</v>
      </c>
      <c r="P32">
        <f t="shared" si="3"/>
        <v>1</v>
      </c>
    </row>
    <row r="33" spans="1:16" x14ac:dyDescent="0.2">
      <c r="A33">
        <f>Datos_Ventas!A33</f>
        <v>33</v>
      </c>
      <c r="B33" s="13">
        <f>Datos_Ventas!B33</f>
        <v>46039</v>
      </c>
      <c r="C33" t="str">
        <f t="shared" si="0"/>
        <v>01 Ene</v>
      </c>
      <c r="D33" t="str">
        <f t="shared" si="1"/>
        <v>T1</v>
      </c>
      <c r="E33" t="str">
        <f>INDEX(Productos!$B$2:$B$11,MATCH(Datos_Ventas!D33,Productos!$A$2:$A$11,0))</f>
        <v>Shampoo Mascotas</v>
      </c>
      <c r="F33" t="str">
        <f>INDEX(Productos!$C$2:$C$11,MATCH(Datos_Ventas!D33,Productos!$A$2:$A$11,0))</f>
        <v>Higiene</v>
      </c>
      <c r="G33" t="str">
        <f>INDEX(Clientes!$B$2:$B$11,MATCH(Datos_Ventas!C33,Clientes!$A$2:$A$11,0))</f>
        <v>Mayorista del Sol</v>
      </c>
      <c r="H33" t="str">
        <f>INDEX(Clientes!$C$2:$C$11,MATCH(Datos_Ventas!C33,Clientes!$A$2:$A$11,0))</f>
        <v>Mayorista</v>
      </c>
      <c r="I33" t="str">
        <f>INDEX(Clientes!$D$2:$D$11,MATCH(Datos_Ventas!C33,Clientes!$A$2:$A$11,0))</f>
        <v>San Martín</v>
      </c>
      <c r="J33">
        <f>Datos_Ventas!E33</f>
        <v>21</v>
      </c>
      <c r="K33" s="29">
        <f>Datos_Ventas!F33</f>
        <v>4170</v>
      </c>
      <c r="L33" s="29">
        <f>Datos_Ventas!G33</f>
        <v>87570</v>
      </c>
      <c r="M33" s="29">
        <f>J33*INDEX(Productos!$D$2:$D$11,MATCH(Datos_Ventas!D33,Productos!$A$2:$A$11,0))</f>
        <v>46200</v>
      </c>
      <c r="N33" s="29">
        <f t="shared" si="2"/>
        <v>41370</v>
      </c>
      <c r="O33" s="30">
        <f>K33/INDEX(Productos!$E$2:$E$11,MATCH(Datos_Ventas!D33,Productos!$A$2:$A$11,0))-1</f>
        <v>6.9230769230769207E-2</v>
      </c>
      <c r="P33">
        <f t="shared" si="3"/>
        <v>1</v>
      </c>
    </row>
    <row r="34" spans="1:16" x14ac:dyDescent="0.2">
      <c r="A34">
        <f>Datos_Ventas!A34</f>
        <v>34</v>
      </c>
      <c r="B34" s="13">
        <f>Datos_Ventas!B34</f>
        <v>46039</v>
      </c>
      <c r="C34" t="str">
        <f t="shared" si="0"/>
        <v>01 Ene</v>
      </c>
      <c r="D34" t="str">
        <f t="shared" si="1"/>
        <v>T1</v>
      </c>
      <c r="E34" t="str">
        <f>INDEX(Productos!$B$2:$B$11,MATCH(Datos_Ventas!D34,Productos!$A$2:$A$11,0))</f>
        <v>Galletas Perro</v>
      </c>
      <c r="F34" t="str">
        <f>INDEX(Productos!$C$2:$C$11,MATCH(Datos_Ventas!D34,Productos!$A$2:$A$11,0))</f>
        <v>Snacks</v>
      </c>
      <c r="G34" t="str">
        <f>INDEX(Clientes!$B$2:$B$11,MATCH(Datos_Ventas!C34,Clientes!$A$2:$A$11,0))</f>
        <v>Kiosco La Esquina</v>
      </c>
      <c r="H34" t="str">
        <f>INDEX(Clientes!$C$2:$C$11,MATCH(Datos_Ventas!C34,Clientes!$A$2:$A$11,0))</f>
        <v>Minorista</v>
      </c>
      <c r="I34" t="str">
        <f>INDEX(Clientes!$D$2:$D$11,MATCH(Datos_Ventas!C34,Clientes!$A$2:$A$11,0))</f>
        <v>Godoy Cruz</v>
      </c>
      <c r="J34">
        <f>Datos_Ventas!E34</f>
        <v>7</v>
      </c>
      <c r="K34" s="29">
        <f>Datos_Ventas!F34</f>
        <v>2900</v>
      </c>
      <c r="L34" s="29">
        <f>Datos_Ventas!G34</f>
        <v>20300</v>
      </c>
      <c r="M34" s="29">
        <f>J34*INDEX(Productos!$D$2:$D$11,MATCH(Datos_Ventas!D34,Productos!$A$2:$A$11,0))</f>
        <v>10500</v>
      </c>
      <c r="N34" s="29">
        <f t="shared" si="2"/>
        <v>9800</v>
      </c>
      <c r="O34" s="30">
        <f>K34/INDEX(Productos!$E$2:$E$11,MATCH(Datos_Ventas!D34,Productos!$A$2:$A$11,0))-1</f>
        <v>7.4074074074074181E-2</v>
      </c>
      <c r="P34">
        <f t="shared" si="3"/>
        <v>1</v>
      </c>
    </row>
    <row r="35" spans="1:16" x14ac:dyDescent="0.2">
      <c r="A35">
        <f>Datos_Ventas!A35</f>
        <v>35</v>
      </c>
      <c r="B35" s="13">
        <f>Datos_Ventas!B35</f>
        <v>46040</v>
      </c>
      <c r="C35" t="str">
        <f t="shared" si="0"/>
        <v>01 Ene</v>
      </c>
      <c r="D35" t="str">
        <f t="shared" si="1"/>
        <v>T1</v>
      </c>
      <c r="E35" t="str">
        <f>INDEX(Productos!$B$2:$B$11,MATCH(Datos_Ventas!D35,Productos!$A$2:$A$11,0))</f>
        <v>Correa Reforzada</v>
      </c>
      <c r="F35" t="str">
        <f>INDEX(Productos!$C$2:$C$11,MATCH(Datos_Ventas!D35,Productos!$A$2:$A$11,0))</f>
        <v>Accesorios</v>
      </c>
      <c r="G35" t="str">
        <f>INDEX(Clientes!$B$2:$B$11,MATCH(Datos_Ventas!C35,Clientes!$A$2:$A$11,0))</f>
        <v>Despensa Vero</v>
      </c>
      <c r="H35" t="str">
        <f>INDEX(Clientes!$C$2:$C$11,MATCH(Datos_Ventas!C35,Clientes!$A$2:$A$11,0))</f>
        <v>Minorista</v>
      </c>
      <c r="I35" t="str">
        <f>INDEX(Clientes!$D$2:$D$11,MATCH(Datos_Ventas!C35,Clientes!$A$2:$A$11,0))</f>
        <v>Mendoza</v>
      </c>
      <c r="J35">
        <f>Datos_Ventas!E35</f>
        <v>19</v>
      </c>
      <c r="K35" s="29">
        <f>Datos_Ventas!F35</f>
        <v>4910</v>
      </c>
      <c r="L35" s="29">
        <f>Datos_Ventas!G35</f>
        <v>93290</v>
      </c>
      <c r="M35" s="29">
        <f>J35*INDEX(Productos!$D$2:$D$11,MATCH(Datos_Ventas!D35,Productos!$A$2:$A$11,0))</f>
        <v>53200</v>
      </c>
      <c r="N35" s="29">
        <f t="shared" si="2"/>
        <v>40090</v>
      </c>
      <c r="O35" s="30">
        <f>K35/INDEX(Productos!$E$2:$E$11,MATCH(Datos_Ventas!D35,Productos!$A$2:$A$11,0))-1</f>
        <v>-5.5769230769230793E-2</v>
      </c>
      <c r="P35">
        <f t="shared" si="3"/>
        <v>1</v>
      </c>
    </row>
    <row r="36" spans="1:16" x14ac:dyDescent="0.2">
      <c r="A36">
        <f>Datos_Ventas!A36</f>
        <v>36</v>
      </c>
      <c r="B36" s="13">
        <f>Datos_Ventas!B36</f>
        <v>46041</v>
      </c>
      <c r="C36" t="str">
        <f t="shared" si="0"/>
        <v>01 Ene</v>
      </c>
      <c r="D36" t="str">
        <f t="shared" si="1"/>
        <v>T1</v>
      </c>
      <c r="E36" t="str">
        <f>INDEX(Productos!$B$2:$B$11,MATCH(Datos_Ventas!D36,Productos!$A$2:$A$11,0))</f>
        <v>Aceite Omega</v>
      </c>
      <c r="F36" t="str">
        <f>INDEX(Productos!$C$2:$C$11,MATCH(Datos_Ventas!D36,Productos!$A$2:$A$11,0))</f>
        <v>Suplementos</v>
      </c>
      <c r="G36" t="str">
        <f>INDEX(Clientes!$B$2:$B$11,MATCH(Datos_Ventas!C36,Clientes!$A$2:$A$11,0))</f>
        <v>Pet Shop Mascotas</v>
      </c>
      <c r="H36" t="str">
        <f>INDEX(Clientes!$C$2:$C$11,MATCH(Datos_Ventas!C36,Clientes!$A$2:$A$11,0))</f>
        <v>Especializado</v>
      </c>
      <c r="I36" t="str">
        <f>INDEX(Clientes!$D$2:$D$11,MATCH(Datos_Ventas!C36,Clientes!$A$2:$A$11,0))</f>
        <v>Mendoza</v>
      </c>
      <c r="J36">
        <f>Datos_Ventas!E36</f>
        <v>20</v>
      </c>
      <c r="K36" s="29">
        <f>Datos_Ventas!F36</f>
        <v>5230</v>
      </c>
      <c r="L36" s="29">
        <f>Datos_Ventas!G36</f>
        <v>104600</v>
      </c>
      <c r="M36" s="29">
        <f>J36*INDEX(Productos!$D$2:$D$11,MATCH(Datos_Ventas!D36,Productos!$A$2:$A$11,0))</f>
        <v>62000</v>
      </c>
      <c r="N36" s="29">
        <f t="shared" si="2"/>
        <v>42600</v>
      </c>
      <c r="O36" s="30">
        <f>K36/INDEX(Productos!$E$2:$E$11,MATCH(Datos_Ventas!D36,Productos!$A$2:$A$11,0))-1</f>
        <v>-6.6071428571428559E-2</v>
      </c>
      <c r="P36">
        <f t="shared" si="3"/>
        <v>1</v>
      </c>
    </row>
    <row r="37" spans="1:16" x14ac:dyDescent="0.2">
      <c r="A37">
        <f>Datos_Ventas!A37</f>
        <v>37</v>
      </c>
      <c r="B37" s="13">
        <f>Datos_Ventas!B37</f>
        <v>46041</v>
      </c>
      <c r="C37" t="str">
        <f t="shared" si="0"/>
        <v>01 Ene</v>
      </c>
      <c r="D37" t="str">
        <f t="shared" si="1"/>
        <v>T1</v>
      </c>
      <c r="E37" t="str">
        <f>INDEX(Productos!$B$2:$B$11,MATCH(Datos_Ventas!D37,Productos!$A$2:$A$11,0))</f>
        <v>Alimento Balanceado 15kg</v>
      </c>
      <c r="F37" t="str">
        <f>INDEX(Productos!$C$2:$C$11,MATCH(Datos_Ventas!D37,Productos!$A$2:$A$11,0))</f>
        <v>Alimentos</v>
      </c>
      <c r="G37" t="str">
        <f>INDEX(Clientes!$B$2:$B$11,MATCH(Datos_Ventas!C37,Clientes!$A$2:$A$11,0))</f>
        <v>Almacén Don Pedro</v>
      </c>
      <c r="H37" t="str">
        <f>INDEX(Clientes!$C$2:$C$11,MATCH(Datos_Ventas!C37,Clientes!$A$2:$A$11,0))</f>
        <v>Minorista</v>
      </c>
      <c r="I37" t="str">
        <f>INDEX(Clientes!$D$2:$D$11,MATCH(Datos_Ventas!C37,Clientes!$A$2:$A$11,0))</f>
        <v>Maipú</v>
      </c>
      <c r="J37">
        <f>Datos_Ventas!E37</f>
        <v>27</v>
      </c>
      <c r="K37" s="29">
        <f>Datos_Ventas!F37</f>
        <v>15120</v>
      </c>
      <c r="L37" s="29">
        <f>Datos_Ventas!G37</f>
        <v>408240</v>
      </c>
      <c r="M37" s="29">
        <f>J37*INDEX(Productos!$D$2:$D$11,MATCH(Datos_Ventas!D37,Productos!$A$2:$A$11,0))</f>
        <v>264600</v>
      </c>
      <c r="N37" s="29">
        <f t="shared" si="2"/>
        <v>143640</v>
      </c>
      <c r="O37" s="30">
        <f>K37/INDEX(Productos!$E$2:$E$11,MATCH(Datos_Ventas!D37,Productos!$A$2:$A$11,0))-1</f>
        <v>4.275862068965508E-2</v>
      </c>
      <c r="P37">
        <f t="shared" si="3"/>
        <v>1</v>
      </c>
    </row>
    <row r="38" spans="1:16" x14ac:dyDescent="0.2">
      <c r="A38">
        <f>Datos_Ventas!A38</f>
        <v>38</v>
      </c>
      <c r="B38" s="13">
        <f>Datos_Ventas!B38</f>
        <v>46044</v>
      </c>
      <c r="C38" t="str">
        <f t="shared" si="0"/>
        <v>01 Ene</v>
      </c>
      <c r="D38" t="str">
        <f t="shared" si="1"/>
        <v>T1</v>
      </c>
      <c r="E38" t="str">
        <f>INDEX(Productos!$B$2:$B$11,MATCH(Datos_Ventas!D38,Productos!$A$2:$A$11,0))</f>
        <v>Galletas Perro</v>
      </c>
      <c r="F38" t="str">
        <f>INDEX(Productos!$C$2:$C$11,MATCH(Datos_Ventas!D38,Productos!$A$2:$A$11,0))</f>
        <v>Snacks</v>
      </c>
      <c r="G38" t="str">
        <f>INDEX(Clientes!$B$2:$B$11,MATCH(Datos_Ventas!C38,Clientes!$A$2:$A$11,0))</f>
        <v>Almacén Don Pedro</v>
      </c>
      <c r="H38" t="str">
        <f>INDEX(Clientes!$C$2:$C$11,MATCH(Datos_Ventas!C38,Clientes!$A$2:$A$11,0))</f>
        <v>Minorista</v>
      </c>
      <c r="I38" t="str">
        <f>INDEX(Clientes!$D$2:$D$11,MATCH(Datos_Ventas!C38,Clientes!$A$2:$A$11,0))</f>
        <v>Maipú</v>
      </c>
      <c r="J38">
        <f>Datos_Ventas!E38</f>
        <v>36</v>
      </c>
      <c r="K38" s="29">
        <f>Datos_Ventas!F38</f>
        <v>2880</v>
      </c>
      <c r="L38" s="29">
        <f>Datos_Ventas!G38</f>
        <v>103680</v>
      </c>
      <c r="M38" s="29">
        <f>J38*INDEX(Productos!$D$2:$D$11,MATCH(Datos_Ventas!D38,Productos!$A$2:$A$11,0))</f>
        <v>54000</v>
      </c>
      <c r="N38" s="29">
        <f t="shared" si="2"/>
        <v>49680</v>
      </c>
      <c r="O38" s="30">
        <f>K38/INDEX(Productos!$E$2:$E$11,MATCH(Datos_Ventas!D38,Productos!$A$2:$A$11,0))-1</f>
        <v>6.6666666666666652E-2</v>
      </c>
      <c r="P38">
        <f t="shared" si="3"/>
        <v>1</v>
      </c>
    </row>
    <row r="39" spans="1:16" x14ac:dyDescent="0.2">
      <c r="A39">
        <f>Datos_Ventas!A39</f>
        <v>39</v>
      </c>
      <c r="B39" s="13">
        <f>Datos_Ventas!B39</f>
        <v>46045</v>
      </c>
      <c r="C39" t="str">
        <f t="shared" si="0"/>
        <v>01 Ene</v>
      </c>
      <c r="D39" t="str">
        <f t="shared" si="1"/>
        <v>T1</v>
      </c>
      <c r="E39" t="str">
        <f>INDEX(Productos!$B$2:$B$11,MATCH(Datos_Ventas!D39,Productos!$A$2:$A$11,0))</f>
        <v>Collar Ajustable</v>
      </c>
      <c r="F39" t="str">
        <f>INDEX(Productos!$C$2:$C$11,MATCH(Datos_Ventas!D39,Productos!$A$2:$A$11,0))</f>
        <v>Accesorios</v>
      </c>
      <c r="G39" t="str">
        <f>INDEX(Clientes!$B$2:$B$11,MATCH(Datos_Ventas!C39,Clientes!$A$2:$A$11,0))</f>
        <v>Veterinaria Sur</v>
      </c>
      <c r="H39" t="str">
        <f>INDEX(Clientes!$C$2:$C$11,MATCH(Datos_Ventas!C39,Clientes!$A$2:$A$11,0))</f>
        <v>Especializado</v>
      </c>
      <c r="I39" t="str">
        <f>INDEX(Clientes!$D$2:$D$11,MATCH(Datos_Ventas!C39,Clientes!$A$2:$A$11,0))</f>
        <v>Godoy Cruz</v>
      </c>
      <c r="J39">
        <f>Datos_Ventas!E39</f>
        <v>18</v>
      </c>
      <c r="K39" s="29">
        <f>Datos_Ventas!F39</f>
        <v>3310</v>
      </c>
      <c r="L39" s="29">
        <f>Datos_Ventas!G39</f>
        <v>59580</v>
      </c>
      <c r="M39" s="29">
        <f>J39*INDEX(Productos!$D$2:$D$11,MATCH(Datos_Ventas!D39,Productos!$A$2:$A$11,0))</f>
        <v>34200</v>
      </c>
      <c r="N39" s="29">
        <f t="shared" si="2"/>
        <v>25380</v>
      </c>
      <c r="O39" s="30">
        <f>K39/INDEX(Productos!$E$2:$E$11,MATCH(Datos_Ventas!D39,Productos!$A$2:$A$11,0))-1</f>
        <v>-8.0555555555555602E-2</v>
      </c>
      <c r="P39">
        <f t="shared" si="3"/>
        <v>1</v>
      </c>
    </row>
    <row r="40" spans="1:16" x14ac:dyDescent="0.2">
      <c r="A40">
        <f>Datos_Ventas!A40</f>
        <v>40</v>
      </c>
      <c r="B40" s="13">
        <f>Datos_Ventas!B40</f>
        <v>46047</v>
      </c>
      <c r="C40" t="str">
        <f t="shared" si="0"/>
        <v>01 Ene</v>
      </c>
      <c r="D40" t="str">
        <f t="shared" si="1"/>
        <v>T1</v>
      </c>
      <c r="E40" t="str">
        <f>INDEX(Productos!$B$2:$B$11,MATCH(Datos_Ventas!D40,Productos!$A$2:$A$11,0))</f>
        <v>Galletas Perro</v>
      </c>
      <c r="F40" t="str">
        <f>INDEX(Productos!$C$2:$C$11,MATCH(Datos_Ventas!D40,Productos!$A$2:$A$11,0))</f>
        <v>Snacks</v>
      </c>
      <c r="G40" t="str">
        <f>INDEX(Clientes!$B$2:$B$11,MATCH(Datos_Ventas!C40,Clientes!$A$2:$A$11,0))</f>
        <v>Kiosco La Esquina</v>
      </c>
      <c r="H40" t="str">
        <f>INDEX(Clientes!$C$2:$C$11,MATCH(Datos_Ventas!C40,Clientes!$A$2:$A$11,0))</f>
        <v>Minorista</v>
      </c>
      <c r="I40" t="str">
        <f>INDEX(Clientes!$D$2:$D$11,MATCH(Datos_Ventas!C40,Clientes!$A$2:$A$11,0))</f>
        <v>Godoy Cruz</v>
      </c>
      <c r="J40">
        <f>Datos_Ventas!E40</f>
        <v>18</v>
      </c>
      <c r="K40" s="29">
        <f>Datos_Ventas!F40</f>
        <v>2830</v>
      </c>
      <c r="L40" s="29">
        <f>Datos_Ventas!G40</f>
        <v>50940</v>
      </c>
      <c r="M40" s="29">
        <f>J40*INDEX(Productos!$D$2:$D$11,MATCH(Datos_Ventas!D40,Productos!$A$2:$A$11,0))</f>
        <v>27000</v>
      </c>
      <c r="N40" s="29">
        <f t="shared" si="2"/>
        <v>23940</v>
      </c>
      <c r="O40" s="30">
        <f>K40/INDEX(Productos!$E$2:$E$11,MATCH(Datos_Ventas!D40,Productos!$A$2:$A$11,0))-1</f>
        <v>4.8148148148148051E-2</v>
      </c>
      <c r="P40">
        <f t="shared" si="3"/>
        <v>1</v>
      </c>
    </row>
    <row r="41" spans="1:16" x14ac:dyDescent="0.2">
      <c r="A41">
        <f>Datos_Ventas!A41</f>
        <v>41</v>
      </c>
      <c r="B41" s="13">
        <f>Datos_Ventas!B41</f>
        <v>46047</v>
      </c>
      <c r="C41" t="str">
        <f t="shared" si="0"/>
        <v>01 Ene</v>
      </c>
      <c r="D41" t="str">
        <f t="shared" si="1"/>
        <v>T1</v>
      </c>
      <c r="E41" t="str">
        <f>INDEX(Productos!$B$2:$B$11,MATCH(Datos_Ventas!D41,Productos!$A$2:$A$11,0))</f>
        <v>Collar Ajustable</v>
      </c>
      <c r="F41" t="str">
        <f>INDEX(Productos!$C$2:$C$11,MATCH(Datos_Ventas!D41,Productos!$A$2:$A$11,0))</f>
        <v>Accesorios</v>
      </c>
      <c r="G41" t="str">
        <f>INDEX(Clientes!$B$2:$B$11,MATCH(Datos_Ventas!C41,Clientes!$A$2:$A$11,0))</f>
        <v>Hiper Centro</v>
      </c>
      <c r="H41" t="str">
        <f>INDEX(Clientes!$C$2:$C$11,MATCH(Datos_Ventas!C41,Clientes!$A$2:$A$11,0))</f>
        <v>Retail</v>
      </c>
      <c r="I41" t="str">
        <f>INDEX(Clientes!$D$2:$D$11,MATCH(Datos_Ventas!C41,Clientes!$A$2:$A$11,0))</f>
        <v>Luján de Cuyo</v>
      </c>
      <c r="J41">
        <f>Datos_Ventas!E41</f>
        <v>29</v>
      </c>
      <c r="K41" s="29">
        <f>Datos_Ventas!F41</f>
        <v>3480</v>
      </c>
      <c r="L41" s="29">
        <f>Datos_Ventas!G41</f>
        <v>100920</v>
      </c>
      <c r="M41" s="29">
        <f>J41*INDEX(Productos!$D$2:$D$11,MATCH(Datos_Ventas!D41,Productos!$A$2:$A$11,0))</f>
        <v>55100</v>
      </c>
      <c r="N41" s="29">
        <f t="shared" si="2"/>
        <v>45820</v>
      </c>
      <c r="O41" s="30">
        <f>K41/INDEX(Productos!$E$2:$E$11,MATCH(Datos_Ventas!D41,Productos!$A$2:$A$11,0))-1</f>
        <v>-3.3333333333333326E-2</v>
      </c>
      <c r="P41">
        <f t="shared" si="3"/>
        <v>1</v>
      </c>
    </row>
    <row r="42" spans="1:16" x14ac:dyDescent="0.2">
      <c r="A42">
        <f>Datos_Ventas!A42</f>
        <v>42</v>
      </c>
      <c r="B42" s="13">
        <f>Datos_Ventas!B42</f>
        <v>46049</v>
      </c>
      <c r="C42" t="str">
        <f t="shared" si="0"/>
        <v>01 Ene</v>
      </c>
      <c r="D42" t="str">
        <f t="shared" si="1"/>
        <v>T1</v>
      </c>
      <c r="E42" t="str">
        <f>INDEX(Productos!$B$2:$B$11,MATCH(Datos_Ventas!D42,Productos!$A$2:$A$11,0))</f>
        <v>Galletas Perro</v>
      </c>
      <c r="F42" t="str">
        <f>INDEX(Productos!$C$2:$C$11,MATCH(Datos_Ventas!D42,Productos!$A$2:$A$11,0))</f>
        <v>Snacks</v>
      </c>
      <c r="G42" t="str">
        <f>INDEX(Clientes!$B$2:$B$11,MATCH(Datos_Ventas!C42,Clientes!$A$2:$A$11,0))</f>
        <v>Distribuidora Andes</v>
      </c>
      <c r="H42" t="str">
        <f>INDEX(Clientes!$C$2:$C$11,MATCH(Datos_Ventas!C42,Clientes!$A$2:$A$11,0))</f>
        <v>Mayorista</v>
      </c>
      <c r="I42" t="str">
        <f>INDEX(Clientes!$D$2:$D$11,MATCH(Datos_Ventas!C42,Clientes!$A$2:$A$11,0))</f>
        <v>Mendoza</v>
      </c>
      <c r="J42">
        <f>Datos_Ventas!E42</f>
        <v>12</v>
      </c>
      <c r="K42" s="29">
        <f>Datos_Ventas!F42</f>
        <v>2780</v>
      </c>
      <c r="L42" s="29">
        <f>Datos_Ventas!G42</f>
        <v>33360</v>
      </c>
      <c r="M42" s="29">
        <f>J42*INDEX(Productos!$D$2:$D$11,MATCH(Datos_Ventas!D42,Productos!$A$2:$A$11,0))</f>
        <v>18000</v>
      </c>
      <c r="N42" s="29">
        <f t="shared" si="2"/>
        <v>15360</v>
      </c>
      <c r="O42" s="30">
        <f>K42/INDEX(Productos!$E$2:$E$11,MATCH(Datos_Ventas!D42,Productos!$A$2:$A$11,0))-1</f>
        <v>2.9629629629629672E-2</v>
      </c>
      <c r="P42">
        <f t="shared" si="3"/>
        <v>1</v>
      </c>
    </row>
    <row r="43" spans="1:16" x14ac:dyDescent="0.2">
      <c r="A43">
        <f>Datos_Ventas!A43</f>
        <v>43</v>
      </c>
      <c r="B43" s="13">
        <f>Datos_Ventas!B43</f>
        <v>46051</v>
      </c>
      <c r="C43" t="str">
        <f t="shared" si="0"/>
        <v>01 Ene</v>
      </c>
      <c r="D43" t="str">
        <f t="shared" si="1"/>
        <v>T1</v>
      </c>
      <c r="E43" t="str">
        <f>INDEX(Productos!$B$2:$B$11,MATCH(Datos_Ventas!D43,Productos!$A$2:$A$11,0))</f>
        <v>Alimento Balanceado 15kg</v>
      </c>
      <c r="F43" t="str">
        <f>INDEX(Productos!$C$2:$C$11,MATCH(Datos_Ventas!D43,Productos!$A$2:$A$11,0))</f>
        <v>Alimentos</v>
      </c>
      <c r="G43" t="str">
        <f>INDEX(Clientes!$B$2:$B$11,MATCH(Datos_Ventas!C43,Clientes!$A$2:$A$11,0))</f>
        <v>Distribuidora Andes</v>
      </c>
      <c r="H43" t="str">
        <f>INDEX(Clientes!$C$2:$C$11,MATCH(Datos_Ventas!C43,Clientes!$A$2:$A$11,0))</f>
        <v>Mayorista</v>
      </c>
      <c r="I43" t="str">
        <f>INDEX(Clientes!$D$2:$D$11,MATCH(Datos_Ventas!C43,Clientes!$A$2:$A$11,0))</f>
        <v>Mendoza</v>
      </c>
      <c r="J43">
        <f>Datos_Ventas!E43</f>
        <v>14</v>
      </c>
      <c r="K43" s="29">
        <f>Datos_Ventas!F43</f>
        <v>14310</v>
      </c>
      <c r="L43" s="29">
        <f>Datos_Ventas!G43</f>
        <v>200340</v>
      </c>
      <c r="M43" s="29">
        <f>J43*INDEX(Productos!$D$2:$D$11,MATCH(Datos_Ventas!D43,Productos!$A$2:$A$11,0))</f>
        <v>137200</v>
      </c>
      <c r="N43" s="29">
        <f t="shared" si="2"/>
        <v>63140</v>
      </c>
      <c r="O43" s="30">
        <f>K43/INDEX(Productos!$E$2:$E$11,MATCH(Datos_Ventas!D43,Productos!$A$2:$A$11,0))-1</f>
        <v>-1.3103448275862073E-2</v>
      </c>
      <c r="P43">
        <f t="shared" si="3"/>
        <v>1</v>
      </c>
    </row>
    <row r="44" spans="1:16" x14ac:dyDescent="0.2">
      <c r="A44">
        <f>Datos_Ventas!A44</f>
        <v>44</v>
      </c>
      <c r="B44" s="13">
        <f>Datos_Ventas!B44</f>
        <v>46051</v>
      </c>
      <c r="C44" t="str">
        <f t="shared" si="0"/>
        <v>01 Ene</v>
      </c>
      <c r="D44" t="str">
        <f t="shared" si="1"/>
        <v>T1</v>
      </c>
      <c r="E44" t="str">
        <f>INDEX(Productos!$B$2:$B$11,MATCH(Datos_Ventas!D44,Productos!$A$2:$A$11,0))</f>
        <v>Galletas Perro</v>
      </c>
      <c r="F44" t="str">
        <f>INDEX(Productos!$C$2:$C$11,MATCH(Datos_Ventas!D44,Productos!$A$2:$A$11,0))</f>
        <v>Snacks</v>
      </c>
      <c r="G44" t="str">
        <f>INDEX(Clientes!$B$2:$B$11,MATCH(Datos_Ventas!C44,Clientes!$A$2:$A$11,0))</f>
        <v>Pet Shop Mascotas</v>
      </c>
      <c r="H44" t="str">
        <f>INDEX(Clientes!$C$2:$C$11,MATCH(Datos_Ventas!C44,Clientes!$A$2:$A$11,0))</f>
        <v>Especializado</v>
      </c>
      <c r="I44" t="str">
        <f>INDEX(Clientes!$D$2:$D$11,MATCH(Datos_Ventas!C44,Clientes!$A$2:$A$11,0))</f>
        <v>Mendoza</v>
      </c>
      <c r="J44">
        <f>Datos_Ventas!E44</f>
        <v>25</v>
      </c>
      <c r="K44" s="29">
        <f>Datos_Ventas!F44</f>
        <v>2770</v>
      </c>
      <c r="L44" s="29">
        <f>Datos_Ventas!G44</f>
        <v>69250</v>
      </c>
      <c r="M44" s="29">
        <f>J44*INDEX(Productos!$D$2:$D$11,MATCH(Datos_Ventas!D44,Productos!$A$2:$A$11,0))</f>
        <v>37500</v>
      </c>
      <c r="N44" s="29">
        <f t="shared" si="2"/>
        <v>31750</v>
      </c>
      <c r="O44" s="30">
        <f>K44/INDEX(Productos!$E$2:$E$11,MATCH(Datos_Ventas!D44,Productos!$A$2:$A$11,0))-1</f>
        <v>2.5925925925925908E-2</v>
      </c>
      <c r="P44">
        <f t="shared" si="3"/>
        <v>1</v>
      </c>
    </row>
    <row r="45" spans="1:16" x14ac:dyDescent="0.2">
      <c r="A45">
        <f>Datos_Ventas!A45</f>
        <v>45</v>
      </c>
      <c r="B45" s="13">
        <f>Datos_Ventas!B45</f>
        <v>46052</v>
      </c>
      <c r="C45" t="str">
        <f t="shared" si="0"/>
        <v>01 Ene</v>
      </c>
      <c r="D45" t="str">
        <f t="shared" si="1"/>
        <v>T1</v>
      </c>
      <c r="E45" t="str">
        <f>INDEX(Productos!$B$2:$B$11,MATCH(Datos_Ventas!D45,Productos!$A$2:$A$11,0))</f>
        <v>Shampoo Mascotas</v>
      </c>
      <c r="F45" t="str">
        <f>INDEX(Productos!$C$2:$C$11,MATCH(Datos_Ventas!D45,Productos!$A$2:$A$11,0))</f>
        <v>Higiene</v>
      </c>
      <c r="G45" t="str">
        <f>INDEX(Clientes!$B$2:$B$11,MATCH(Datos_Ventas!C45,Clientes!$A$2:$A$11,0))</f>
        <v>Veterinaria Sur</v>
      </c>
      <c r="H45" t="str">
        <f>INDEX(Clientes!$C$2:$C$11,MATCH(Datos_Ventas!C45,Clientes!$A$2:$A$11,0))</f>
        <v>Especializado</v>
      </c>
      <c r="I45" t="str">
        <f>INDEX(Clientes!$D$2:$D$11,MATCH(Datos_Ventas!C45,Clientes!$A$2:$A$11,0))</f>
        <v>Godoy Cruz</v>
      </c>
      <c r="J45">
        <f>Datos_Ventas!E45</f>
        <v>31</v>
      </c>
      <c r="K45" s="29">
        <f>Datos_Ventas!F45</f>
        <v>3750</v>
      </c>
      <c r="L45" s="29">
        <f>Datos_Ventas!G45</f>
        <v>116250</v>
      </c>
      <c r="M45" s="29">
        <f>J45*INDEX(Productos!$D$2:$D$11,MATCH(Datos_Ventas!D45,Productos!$A$2:$A$11,0))</f>
        <v>68200</v>
      </c>
      <c r="N45" s="29">
        <f t="shared" si="2"/>
        <v>48050</v>
      </c>
      <c r="O45" s="30">
        <f>K45/INDEX(Productos!$E$2:$E$11,MATCH(Datos_Ventas!D45,Productos!$A$2:$A$11,0))-1</f>
        <v>-3.8461538461538436E-2</v>
      </c>
      <c r="P45">
        <f t="shared" si="3"/>
        <v>1</v>
      </c>
    </row>
    <row r="46" spans="1:16" x14ac:dyDescent="0.2">
      <c r="A46">
        <f>Datos_Ventas!A46</f>
        <v>46</v>
      </c>
      <c r="B46" s="13">
        <f>Datos_Ventas!B46</f>
        <v>46052</v>
      </c>
      <c r="C46" t="str">
        <f t="shared" si="0"/>
        <v>01 Ene</v>
      </c>
      <c r="D46" t="str">
        <f t="shared" si="1"/>
        <v>T1</v>
      </c>
      <c r="E46" t="str">
        <f>INDEX(Productos!$B$2:$B$11,MATCH(Datos_Ventas!D46,Productos!$A$2:$A$11,0))</f>
        <v>Galletas Perro</v>
      </c>
      <c r="F46" t="str">
        <f>INDEX(Productos!$C$2:$C$11,MATCH(Datos_Ventas!D46,Productos!$A$2:$A$11,0))</f>
        <v>Snacks</v>
      </c>
      <c r="G46" t="str">
        <f>INDEX(Clientes!$B$2:$B$11,MATCH(Datos_Ventas!C46,Clientes!$A$2:$A$11,0))</f>
        <v>Veterinaria Sur</v>
      </c>
      <c r="H46" t="str">
        <f>INDEX(Clientes!$C$2:$C$11,MATCH(Datos_Ventas!C46,Clientes!$A$2:$A$11,0))</f>
        <v>Especializado</v>
      </c>
      <c r="I46" t="str">
        <f>INDEX(Clientes!$D$2:$D$11,MATCH(Datos_Ventas!C46,Clientes!$A$2:$A$11,0))</f>
        <v>Godoy Cruz</v>
      </c>
      <c r="J46">
        <f>Datos_Ventas!E46</f>
        <v>19</v>
      </c>
      <c r="K46" s="29">
        <f>Datos_Ventas!F46</f>
        <v>2610</v>
      </c>
      <c r="L46" s="29">
        <f>Datos_Ventas!G46</f>
        <v>49590</v>
      </c>
      <c r="M46" s="29">
        <f>J46*INDEX(Productos!$D$2:$D$11,MATCH(Datos_Ventas!D46,Productos!$A$2:$A$11,0))</f>
        <v>28500</v>
      </c>
      <c r="N46" s="29">
        <f t="shared" si="2"/>
        <v>21090</v>
      </c>
      <c r="O46" s="30">
        <f>K46/INDEX(Productos!$E$2:$E$11,MATCH(Datos_Ventas!D46,Productos!$A$2:$A$11,0))-1</f>
        <v>-3.3333333333333326E-2</v>
      </c>
      <c r="P46">
        <f t="shared" si="3"/>
        <v>1</v>
      </c>
    </row>
    <row r="47" spans="1:16" x14ac:dyDescent="0.2">
      <c r="A47">
        <f>Datos_Ventas!A47</f>
        <v>47</v>
      </c>
      <c r="B47" s="13">
        <f>Datos_Ventas!B47</f>
        <v>46054</v>
      </c>
      <c r="C47" t="str">
        <f t="shared" si="0"/>
        <v>02 Feb</v>
      </c>
      <c r="D47" t="str">
        <f t="shared" si="1"/>
        <v>T1</v>
      </c>
      <c r="E47" t="str">
        <f>INDEX(Productos!$B$2:$B$11,MATCH(Datos_Ventas!D47,Productos!$A$2:$A$11,0))</f>
        <v>Collar Ajustable</v>
      </c>
      <c r="F47" t="str">
        <f>INDEX(Productos!$C$2:$C$11,MATCH(Datos_Ventas!D47,Productos!$A$2:$A$11,0))</f>
        <v>Accesorios</v>
      </c>
      <c r="G47" t="str">
        <f>INDEX(Clientes!$B$2:$B$11,MATCH(Datos_Ventas!C47,Clientes!$A$2:$A$11,0))</f>
        <v>Autoservicio Norte</v>
      </c>
      <c r="H47" t="str">
        <f>INDEX(Clientes!$C$2:$C$11,MATCH(Datos_Ventas!C47,Clientes!$A$2:$A$11,0))</f>
        <v>Retail</v>
      </c>
      <c r="I47" t="str">
        <f>INDEX(Clientes!$D$2:$D$11,MATCH(Datos_Ventas!C47,Clientes!$A$2:$A$11,0))</f>
        <v>Las Heras</v>
      </c>
      <c r="J47">
        <f>Datos_Ventas!E47</f>
        <v>11</v>
      </c>
      <c r="K47" s="29">
        <f>Datos_Ventas!F47</f>
        <v>3330</v>
      </c>
      <c r="L47" s="29">
        <f>Datos_Ventas!G47</f>
        <v>36630</v>
      </c>
      <c r="M47" s="29">
        <f>J47*INDEX(Productos!$D$2:$D$11,MATCH(Datos_Ventas!D47,Productos!$A$2:$A$11,0))</f>
        <v>20900</v>
      </c>
      <c r="N47" s="29">
        <f t="shared" si="2"/>
        <v>15730</v>
      </c>
      <c r="O47" s="30">
        <f>K47/INDEX(Productos!$E$2:$E$11,MATCH(Datos_Ventas!D47,Productos!$A$2:$A$11,0))-1</f>
        <v>-7.4999999999999956E-2</v>
      </c>
      <c r="P47">
        <f t="shared" si="3"/>
        <v>1</v>
      </c>
    </row>
    <row r="48" spans="1:16" x14ac:dyDescent="0.2">
      <c r="A48">
        <f>Datos_Ventas!A48</f>
        <v>48</v>
      </c>
      <c r="B48" s="13">
        <f>Datos_Ventas!B48</f>
        <v>46054</v>
      </c>
      <c r="C48" t="str">
        <f t="shared" si="0"/>
        <v>02 Feb</v>
      </c>
      <c r="D48" t="str">
        <f t="shared" si="1"/>
        <v>T1</v>
      </c>
      <c r="E48" t="str">
        <f>INDEX(Productos!$B$2:$B$11,MATCH(Datos_Ventas!D48,Productos!$A$2:$A$11,0))</f>
        <v>Correa Reforzada</v>
      </c>
      <c r="F48" t="str">
        <f>INDEX(Productos!$C$2:$C$11,MATCH(Datos_Ventas!D48,Productos!$A$2:$A$11,0))</f>
        <v>Accesorios</v>
      </c>
      <c r="G48" t="str">
        <f>INDEX(Clientes!$B$2:$B$11,MATCH(Datos_Ventas!C48,Clientes!$A$2:$A$11,0))</f>
        <v>Veterinaria Sur</v>
      </c>
      <c r="H48" t="str">
        <f>INDEX(Clientes!$C$2:$C$11,MATCH(Datos_Ventas!C48,Clientes!$A$2:$A$11,0))</f>
        <v>Especializado</v>
      </c>
      <c r="I48" t="str">
        <f>INDEX(Clientes!$D$2:$D$11,MATCH(Datos_Ventas!C48,Clientes!$A$2:$A$11,0))</f>
        <v>Godoy Cruz</v>
      </c>
      <c r="J48">
        <f>Datos_Ventas!E48</f>
        <v>26</v>
      </c>
      <c r="K48" s="29">
        <f>Datos_Ventas!F48</f>
        <v>5070</v>
      </c>
      <c r="L48" s="29">
        <f>Datos_Ventas!G48</f>
        <v>131820</v>
      </c>
      <c r="M48" s="29">
        <f>J48*INDEX(Productos!$D$2:$D$11,MATCH(Datos_Ventas!D48,Productos!$A$2:$A$11,0))</f>
        <v>72800</v>
      </c>
      <c r="N48" s="29">
        <f t="shared" si="2"/>
        <v>59020</v>
      </c>
      <c r="O48" s="30">
        <f>K48/INDEX(Productos!$E$2:$E$11,MATCH(Datos_Ventas!D48,Productos!$A$2:$A$11,0))-1</f>
        <v>-2.5000000000000022E-2</v>
      </c>
      <c r="P48">
        <f t="shared" si="3"/>
        <v>1</v>
      </c>
    </row>
    <row r="49" spans="1:16" x14ac:dyDescent="0.2">
      <c r="A49">
        <f>Datos_Ventas!A49</f>
        <v>49</v>
      </c>
      <c r="B49" s="13">
        <f>Datos_Ventas!B49</f>
        <v>46054</v>
      </c>
      <c r="C49" t="str">
        <f t="shared" si="0"/>
        <v>02 Feb</v>
      </c>
      <c r="D49" t="str">
        <f t="shared" si="1"/>
        <v>T1</v>
      </c>
      <c r="E49" t="str">
        <f>INDEX(Productos!$B$2:$B$11,MATCH(Datos_Ventas!D49,Productos!$A$2:$A$11,0))</f>
        <v>Galletas Perro</v>
      </c>
      <c r="F49" t="str">
        <f>INDEX(Productos!$C$2:$C$11,MATCH(Datos_Ventas!D49,Productos!$A$2:$A$11,0))</f>
        <v>Snacks</v>
      </c>
      <c r="G49" t="str">
        <f>INDEX(Clientes!$B$2:$B$11,MATCH(Datos_Ventas!C49,Clientes!$A$2:$A$11,0))</f>
        <v>Hiper Centro</v>
      </c>
      <c r="H49" t="str">
        <f>INDEX(Clientes!$C$2:$C$11,MATCH(Datos_Ventas!C49,Clientes!$A$2:$A$11,0))</f>
        <v>Retail</v>
      </c>
      <c r="I49" t="str">
        <f>INDEX(Clientes!$D$2:$D$11,MATCH(Datos_Ventas!C49,Clientes!$A$2:$A$11,0))</f>
        <v>Luján de Cuyo</v>
      </c>
      <c r="J49">
        <f>Datos_Ventas!E49</f>
        <v>27</v>
      </c>
      <c r="K49" s="29">
        <f>Datos_Ventas!F49</f>
        <v>2690</v>
      </c>
      <c r="L49" s="29">
        <f>Datos_Ventas!G49</f>
        <v>72630</v>
      </c>
      <c r="M49" s="29">
        <f>J49*INDEX(Productos!$D$2:$D$11,MATCH(Datos_Ventas!D49,Productos!$A$2:$A$11,0))</f>
        <v>40500</v>
      </c>
      <c r="N49" s="29">
        <f t="shared" si="2"/>
        <v>32130</v>
      </c>
      <c r="O49" s="30">
        <f>K49/INDEX(Productos!$E$2:$E$11,MATCH(Datos_Ventas!D49,Productos!$A$2:$A$11,0))-1</f>
        <v>-3.7037037037036535E-3</v>
      </c>
      <c r="P49">
        <f t="shared" si="3"/>
        <v>1</v>
      </c>
    </row>
    <row r="50" spans="1:16" x14ac:dyDescent="0.2">
      <c r="A50">
        <f>Datos_Ventas!A50</f>
        <v>50</v>
      </c>
      <c r="B50" s="13">
        <f>Datos_Ventas!B50</f>
        <v>46055</v>
      </c>
      <c r="C50" t="str">
        <f t="shared" si="0"/>
        <v>02 Feb</v>
      </c>
      <c r="D50" t="str">
        <f t="shared" si="1"/>
        <v>T1</v>
      </c>
      <c r="E50" t="str">
        <f>INDEX(Productos!$B$2:$B$11,MATCH(Datos_Ventas!D50,Productos!$A$2:$A$11,0))</f>
        <v>Shampoo Mascotas</v>
      </c>
      <c r="F50" t="str">
        <f>INDEX(Productos!$C$2:$C$11,MATCH(Datos_Ventas!D50,Productos!$A$2:$A$11,0))</f>
        <v>Higiene</v>
      </c>
      <c r="G50" t="str">
        <f>INDEX(Clientes!$B$2:$B$11,MATCH(Datos_Ventas!C50,Clientes!$A$2:$A$11,0))</f>
        <v>Distribuidora Andes</v>
      </c>
      <c r="H50" t="str">
        <f>INDEX(Clientes!$C$2:$C$11,MATCH(Datos_Ventas!C50,Clientes!$A$2:$A$11,0))</f>
        <v>Mayorista</v>
      </c>
      <c r="I50" t="str">
        <f>INDEX(Clientes!$D$2:$D$11,MATCH(Datos_Ventas!C50,Clientes!$A$2:$A$11,0))</f>
        <v>Mendoza</v>
      </c>
      <c r="J50">
        <f>Datos_Ventas!E50</f>
        <v>28</v>
      </c>
      <c r="K50" s="29">
        <f>Datos_Ventas!F50</f>
        <v>4190</v>
      </c>
      <c r="L50" s="29">
        <f>Datos_Ventas!G50</f>
        <v>117320</v>
      </c>
      <c r="M50" s="29">
        <f>J50*INDEX(Productos!$D$2:$D$11,MATCH(Datos_Ventas!D50,Productos!$A$2:$A$11,0))</f>
        <v>61600</v>
      </c>
      <c r="N50" s="29">
        <f t="shared" si="2"/>
        <v>55720</v>
      </c>
      <c r="O50" s="30">
        <f>K50/INDEX(Productos!$E$2:$E$11,MATCH(Datos_Ventas!D50,Productos!$A$2:$A$11,0))-1</f>
        <v>7.4358974358974317E-2</v>
      </c>
      <c r="P50">
        <f t="shared" si="3"/>
        <v>1</v>
      </c>
    </row>
    <row r="51" spans="1:16" x14ac:dyDescent="0.2">
      <c r="A51">
        <f>Datos_Ventas!A51</f>
        <v>51</v>
      </c>
      <c r="B51" s="13">
        <f>Datos_Ventas!B51</f>
        <v>46055</v>
      </c>
      <c r="C51" t="str">
        <f t="shared" si="0"/>
        <v>02 Feb</v>
      </c>
      <c r="D51" t="str">
        <f t="shared" si="1"/>
        <v>T1</v>
      </c>
      <c r="E51" t="str">
        <f>INDEX(Productos!$B$2:$B$11,MATCH(Datos_Ventas!D51,Productos!$A$2:$A$11,0))</f>
        <v>Shampoo Mascotas</v>
      </c>
      <c r="F51" t="str">
        <f>INDEX(Productos!$C$2:$C$11,MATCH(Datos_Ventas!D51,Productos!$A$2:$A$11,0))</f>
        <v>Higiene</v>
      </c>
      <c r="G51" t="str">
        <f>INDEX(Clientes!$B$2:$B$11,MATCH(Datos_Ventas!C51,Clientes!$A$2:$A$11,0))</f>
        <v>Autoservicio Norte</v>
      </c>
      <c r="H51" t="str">
        <f>INDEX(Clientes!$C$2:$C$11,MATCH(Datos_Ventas!C51,Clientes!$A$2:$A$11,0))</f>
        <v>Retail</v>
      </c>
      <c r="I51" t="str">
        <f>INDEX(Clientes!$D$2:$D$11,MATCH(Datos_Ventas!C51,Clientes!$A$2:$A$11,0))</f>
        <v>Las Heras</v>
      </c>
      <c r="J51">
        <f>Datos_Ventas!E51</f>
        <v>3</v>
      </c>
      <c r="K51" s="29">
        <f>Datos_Ventas!F51</f>
        <v>3770</v>
      </c>
      <c r="L51" s="29">
        <f>Datos_Ventas!G51</f>
        <v>11310</v>
      </c>
      <c r="M51" s="29">
        <f>J51*INDEX(Productos!$D$2:$D$11,MATCH(Datos_Ventas!D51,Productos!$A$2:$A$11,0))</f>
        <v>6600</v>
      </c>
      <c r="N51" s="29">
        <f t="shared" si="2"/>
        <v>4710</v>
      </c>
      <c r="O51" s="30">
        <f>K51/INDEX(Productos!$E$2:$E$11,MATCH(Datos_Ventas!D51,Productos!$A$2:$A$11,0))-1</f>
        <v>-3.3333333333333326E-2</v>
      </c>
      <c r="P51">
        <f t="shared" si="3"/>
        <v>1</v>
      </c>
    </row>
    <row r="52" spans="1:16" x14ac:dyDescent="0.2">
      <c r="A52">
        <f>Datos_Ventas!A52</f>
        <v>52</v>
      </c>
      <c r="B52" s="13">
        <f>Datos_Ventas!B52</f>
        <v>46056</v>
      </c>
      <c r="C52" t="str">
        <f t="shared" si="0"/>
        <v>02 Feb</v>
      </c>
      <c r="D52" t="str">
        <f t="shared" si="1"/>
        <v>T1</v>
      </c>
      <c r="E52" t="str">
        <f>INDEX(Productos!$B$2:$B$11,MATCH(Datos_Ventas!D52,Productos!$A$2:$A$11,0))</f>
        <v>Galletas Perro</v>
      </c>
      <c r="F52" t="str">
        <f>INDEX(Productos!$C$2:$C$11,MATCH(Datos_Ventas!D52,Productos!$A$2:$A$11,0))</f>
        <v>Snacks</v>
      </c>
      <c r="G52" t="str">
        <f>INDEX(Clientes!$B$2:$B$11,MATCH(Datos_Ventas!C52,Clientes!$A$2:$A$11,0))</f>
        <v>Mayorista del Sol</v>
      </c>
      <c r="H52" t="str">
        <f>INDEX(Clientes!$C$2:$C$11,MATCH(Datos_Ventas!C52,Clientes!$A$2:$A$11,0))</f>
        <v>Mayorista</v>
      </c>
      <c r="I52" t="str">
        <f>INDEX(Clientes!$D$2:$D$11,MATCH(Datos_Ventas!C52,Clientes!$A$2:$A$11,0))</f>
        <v>San Martín</v>
      </c>
      <c r="J52">
        <f>Datos_Ventas!E52</f>
        <v>7</v>
      </c>
      <c r="K52" s="29">
        <f>Datos_Ventas!F52</f>
        <v>2710</v>
      </c>
      <c r="L52" s="29">
        <f>Datos_Ventas!G52</f>
        <v>18970</v>
      </c>
      <c r="M52" s="29">
        <f>J52*INDEX(Productos!$D$2:$D$11,MATCH(Datos_Ventas!D52,Productos!$A$2:$A$11,0))</f>
        <v>10500</v>
      </c>
      <c r="N52" s="29">
        <f t="shared" si="2"/>
        <v>8470</v>
      </c>
      <c r="O52" s="30">
        <f>K52/INDEX(Productos!$E$2:$E$11,MATCH(Datos_Ventas!D52,Productos!$A$2:$A$11,0))-1</f>
        <v>3.7037037037037646E-3</v>
      </c>
      <c r="P52">
        <f t="shared" si="3"/>
        <v>1</v>
      </c>
    </row>
    <row r="53" spans="1:16" x14ac:dyDescent="0.2">
      <c r="A53">
        <f>Datos_Ventas!A53</f>
        <v>53</v>
      </c>
      <c r="B53" s="13">
        <f>Datos_Ventas!B53</f>
        <v>46057</v>
      </c>
      <c r="C53" t="str">
        <f t="shared" si="0"/>
        <v>02 Feb</v>
      </c>
      <c r="D53" t="str">
        <f t="shared" si="1"/>
        <v>T1</v>
      </c>
      <c r="E53" t="str">
        <f>INDEX(Productos!$B$2:$B$11,MATCH(Datos_Ventas!D53,Productos!$A$2:$A$11,0))</f>
        <v>Collar Ajustable</v>
      </c>
      <c r="F53" t="str">
        <f>INDEX(Productos!$C$2:$C$11,MATCH(Datos_Ventas!D53,Productos!$A$2:$A$11,0))</f>
        <v>Accesorios</v>
      </c>
      <c r="G53" t="str">
        <f>INDEX(Clientes!$B$2:$B$11,MATCH(Datos_Ventas!C53,Clientes!$A$2:$A$11,0))</f>
        <v>Autoservicio Norte</v>
      </c>
      <c r="H53" t="str">
        <f>INDEX(Clientes!$C$2:$C$11,MATCH(Datos_Ventas!C53,Clientes!$A$2:$A$11,0))</f>
        <v>Retail</v>
      </c>
      <c r="I53" t="str">
        <f>INDEX(Clientes!$D$2:$D$11,MATCH(Datos_Ventas!C53,Clientes!$A$2:$A$11,0))</f>
        <v>Las Heras</v>
      </c>
      <c r="J53">
        <f>Datos_Ventas!E53</f>
        <v>32</v>
      </c>
      <c r="K53" s="29">
        <f>Datos_Ventas!F53</f>
        <v>3870</v>
      </c>
      <c r="L53" s="29">
        <f>Datos_Ventas!G53</f>
        <v>123840</v>
      </c>
      <c r="M53" s="29">
        <f>J53*INDEX(Productos!$D$2:$D$11,MATCH(Datos_Ventas!D53,Productos!$A$2:$A$11,0))</f>
        <v>60800</v>
      </c>
      <c r="N53" s="29">
        <f t="shared" si="2"/>
        <v>63040</v>
      </c>
      <c r="O53" s="30">
        <f>K53/INDEX(Productos!$E$2:$E$11,MATCH(Datos_Ventas!D53,Productos!$A$2:$A$11,0))-1</f>
        <v>7.4999999999999956E-2</v>
      </c>
      <c r="P53">
        <f t="shared" si="3"/>
        <v>1</v>
      </c>
    </row>
    <row r="54" spans="1:16" x14ac:dyDescent="0.2">
      <c r="A54">
        <f>Datos_Ventas!A54</f>
        <v>54</v>
      </c>
      <c r="B54" s="13">
        <f>Datos_Ventas!B54</f>
        <v>46057</v>
      </c>
      <c r="C54" t="str">
        <f t="shared" si="0"/>
        <v>02 Feb</v>
      </c>
      <c r="D54" t="str">
        <f t="shared" si="1"/>
        <v>T1</v>
      </c>
      <c r="E54" t="str">
        <f>INDEX(Productos!$B$2:$B$11,MATCH(Datos_Ventas!D54,Productos!$A$2:$A$11,0))</f>
        <v>Correa Reforzada</v>
      </c>
      <c r="F54" t="str">
        <f>INDEX(Productos!$C$2:$C$11,MATCH(Datos_Ventas!D54,Productos!$A$2:$A$11,0))</f>
        <v>Accesorios</v>
      </c>
      <c r="G54" t="str">
        <f>INDEX(Clientes!$B$2:$B$11,MATCH(Datos_Ventas!C54,Clientes!$A$2:$A$11,0))</f>
        <v>Veterinaria Sur</v>
      </c>
      <c r="H54" t="str">
        <f>INDEX(Clientes!$C$2:$C$11,MATCH(Datos_Ventas!C54,Clientes!$A$2:$A$11,0))</f>
        <v>Especializado</v>
      </c>
      <c r="I54" t="str">
        <f>INDEX(Clientes!$D$2:$D$11,MATCH(Datos_Ventas!C54,Clientes!$A$2:$A$11,0))</f>
        <v>Godoy Cruz</v>
      </c>
      <c r="J54">
        <f>Datos_Ventas!E54</f>
        <v>31</v>
      </c>
      <c r="K54" s="29">
        <f>Datos_Ventas!F54</f>
        <v>4970</v>
      </c>
      <c r="L54" s="29">
        <f>Datos_Ventas!G54</f>
        <v>154070</v>
      </c>
      <c r="M54" s="29">
        <f>J54*INDEX(Productos!$D$2:$D$11,MATCH(Datos_Ventas!D54,Productos!$A$2:$A$11,0))</f>
        <v>86800</v>
      </c>
      <c r="N54" s="29">
        <f t="shared" si="2"/>
        <v>67270</v>
      </c>
      <c r="O54" s="30">
        <f>K54/INDEX(Productos!$E$2:$E$11,MATCH(Datos_Ventas!D54,Productos!$A$2:$A$11,0))-1</f>
        <v>-4.4230769230769185E-2</v>
      </c>
      <c r="P54">
        <f t="shared" si="3"/>
        <v>1</v>
      </c>
    </row>
    <row r="55" spans="1:16" x14ac:dyDescent="0.2">
      <c r="A55">
        <f>Datos_Ventas!A55</f>
        <v>55</v>
      </c>
      <c r="B55" s="13">
        <f>Datos_Ventas!B55</f>
        <v>46058</v>
      </c>
      <c r="C55" t="str">
        <f t="shared" si="0"/>
        <v>02 Feb</v>
      </c>
      <c r="D55" t="str">
        <f t="shared" si="1"/>
        <v>T1</v>
      </c>
      <c r="E55" t="str">
        <f>INDEX(Productos!$B$2:$B$11,MATCH(Datos_Ventas!D55,Productos!$A$2:$A$11,0))</f>
        <v>Alimento Balanceado 15kg</v>
      </c>
      <c r="F55" t="str">
        <f>INDEX(Productos!$C$2:$C$11,MATCH(Datos_Ventas!D55,Productos!$A$2:$A$11,0))</f>
        <v>Alimentos</v>
      </c>
      <c r="G55" t="str">
        <f>INDEX(Clientes!$B$2:$B$11,MATCH(Datos_Ventas!C55,Clientes!$A$2:$A$11,0))</f>
        <v>Supermercado Cuyo</v>
      </c>
      <c r="H55" t="str">
        <f>INDEX(Clientes!$C$2:$C$11,MATCH(Datos_Ventas!C55,Clientes!$A$2:$A$11,0))</f>
        <v>Retail</v>
      </c>
      <c r="I55" t="str">
        <f>INDEX(Clientes!$D$2:$D$11,MATCH(Datos_Ventas!C55,Clientes!$A$2:$A$11,0))</f>
        <v>Guaymallén</v>
      </c>
      <c r="J55">
        <f>Datos_Ventas!E55</f>
        <v>7</v>
      </c>
      <c r="K55" s="29">
        <f>Datos_Ventas!F55</f>
        <v>15170</v>
      </c>
      <c r="L55" s="29">
        <f>Datos_Ventas!G55</f>
        <v>106190</v>
      </c>
      <c r="M55" s="29">
        <f>J55*INDEX(Productos!$D$2:$D$11,MATCH(Datos_Ventas!D55,Productos!$A$2:$A$11,0))</f>
        <v>68600</v>
      </c>
      <c r="N55" s="29">
        <f t="shared" si="2"/>
        <v>37590</v>
      </c>
      <c r="O55" s="30">
        <f>K55/INDEX(Productos!$E$2:$E$11,MATCH(Datos_Ventas!D55,Productos!$A$2:$A$11,0))-1</f>
        <v>4.6206896551724164E-2</v>
      </c>
      <c r="P55">
        <f t="shared" si="3"/>
        <v>1</v>
      </c>
    </row>
    <row r="56" spans="1:16" x14ac:dyDescent="0.2">
      <c r="A56">
        <f>Datos_Ventas!A56</f>
        <v>56</v>
      </c>
      <c r="B56" s="13">
        <f>Datos_Ventas!B56</f>
        <v>46059</v>
      </c>
      <c r="C56" t="str">
        <f t="shared" si="0"/>
        <v>02 Feb</v>
      </c>
      <c r="D56" t="str">
        <f t="shared" si="1"/>
        <v>T1</v>
      </c>
      <c r="E56" t="str">
        <f>INDEX(Productos!$B$2:$B$11,MATCH(Datos_Ventas!D56,Productos!$A$2:$A$11,0))</f>
        <v>Arena Sanitaria</v>
      </c>
      <c r="F56" t="str">
        <f>INDEX(Productos!$C$2:$C$11,MATCH(Datos_Ventas!D56,Productos!$A$2:$A$11,0))</f>
        <v>Higiene</v>
      </c>
      <c r="G56" t="str">
        <f>INDEX(Clientes!$B$2:$B$11,MATCH(Datos_Ventas!C56,Clientes!$A$2:$A$11,0))</f>
        <v>Autoservicio Norte</v>
      </c>
      <c r="H56" t="str">
        <f>INDEX(Clientes!$C$2:$C$11,MATCH(Datos_Ventas!C56,Clientes!$A$2:$A$11,0))</f>
        <v>Retail</v>
      </c>
      <c r="I56" t="str">
        <f>INDEX(Clientes!$D$2:$D$11,MATCH(Datos_Ventas!C56,Clientes!$A$2:$A$11,0))</f>
        <v>Las Heras</v>
      </c>
      <c r="J56">
        <f>Datos_Ventas!E56</f>
        <v>2</v>
      </c>
      <c r="K56" s="29">
        <f>Datos_Ventas!F56</f>
        <v>4130</v>
      </c>
      <c r="L56" s="29">
        <f>Datos_Ventas!G56</f>
        <v>8260</v>
      </c>
      <c r="M56" s="29">
        <f>J56*INDEX(Productos!$D$2:$D$11,MATCH(Datos_Ventas!D56,Productos!$A$2:$A$11,0))</f>
        <v>5200</v>
      </c>
      <c r="N56" s="29">
        <f t="shared" si="2"/>
        <v>3060</v>
      </c>
      <c r="O56" s="30">
        <f>K56/INDEX(Productos!$E$2:$E$11,MATCH(Datos_Ventas!D56,Productos!$A$2:$A$11,0))-1</f>
        <v>-6.1363636363636398E-2</v>
      </c>
      <c r="P56">
        <f t="shared" si="3"/>
        <v>1</v>
      </c>
    </row>
    <row r="57" spans="1:16" x14ac:dyDescent="0.2">
      <c r="A57">
        <f>Datos_Ventas!A57</f>
        <v>57</v>
      </c>
      <c r="B57" s="13">
        <f>Datos_Ventas!B57</f>
        <v>46060</v>
      </c>
      <c r="C57" t="str">
        <f t="shared" si="0"/>
        <v>02 Feb</v>
      </c>
      <c r="D57" t="str">
        <f t="shared" si="1"/>
        <v>T1</v>
      </c>
      <c r="E57" t="str">
        <f>INDEX(Productos!$B$2:$B$11,MATCH(Datos_Ventas!D57,Productos!$A$2:$A$11,0))</f>
        <v>Arena Sanitaria</v>
      </c>
      <c r="F57" t="str">
        <f>INDEX(Productos!$C$2:$C$11,MATCH(Datos_Ventas!D57,Productos!$A$2:$A$11,0))</f>
        <v>Higiene</v>
      </c>
      <c r="G57" t="str">
        <f>INDEX(Clientes!$B$2:$B$11,MATCH(Datos_Ventas!C57,Clientes!$A$2:$A$11,0))</f>
        <v>Supermercado Cuyo</v>
      </c>
      <c r="H57" t="str">
        <f>INDEX(Clientes!$C$2:$C$11,MATCH(Datos_Ventas!C57,Clientes!$A$2:$A$11,0))</f>
        <v>Retail</v>
      </c>
      <c r="I57" t="str">
        <f>INDEX(Clientes!$D$2:$D$11,MATCH(Datos_Ventas!C57,Clientes!$A$2:$A$11,0))</f>
        <v>Guaymallén</v>
      </c>
      <c r="J57">
        <f>Datos_Ventas!E57</f>
        <v>7</v>
      </c>
      <c r="K57" s="29">
        <f>Datos_Ventas!F57</f>
        <v>4430</v>
      </c>
      <c r="L57" s="29">
        <f>Datos_Ventas!G57</f>
        <v>31010</v>
      </c>
      <c r="M57" s="29">
        <f>J57*INDEX(Productos!$D$2:$D$11,MATCH(Datos_Ventas!D57,Productos!$A$2:$A$11,0))</f>
        <v>18200</v>
      </c>
      <c r="N57" s="29">
        <f t="shared" si="2"/>
        <v>12810</v>
      </c>
      <c r="O57" s="30">
        <f>K57/INDEX(Productos!$E$2:$E$11,MATCH(Datos_Ventas!D57,Productos!$A$2:$A$11,0))-1</f>
        <v>6.8181818181818343E-3</v>
      </c>
      <c r="P57">
        <f t="shared" si="3"/>
        <v>1</v>
      </c>
    </row>
    <row r="58" spans="1:16" x14ac:dyDescent="0.2">
      <c r="A58">
        <f>Datos_Ventas!A58</f>
        <v>59</v>
      </c>
      <c r="B58" s="13">
        <f>Datos_Ventas!B58</f>
        <v>46062</v>
      </c>
      <c r="C58" t="str">
        <f t="shared" si="0"/>
        <v>02 Feb</v>
      </c>
      <c r="D58" t="str">
        <f t="shared" si="1"/>
        <v>T1</v>
      </c>
      <c r="E58" t="str">
        <f>INDEX(Productos!$B$2:$B$11,MATCH(Datos_Ventas!D58,Productos!$A$2:$A$11,0))</f>
        <v>Alimento Premium 10kg</v>
      </c>
      <c r="F58" t="str">
        <f>INDEX(Productos!$C$2:$C$11,MATCH(Datos_Ventas!D58,Productos!$A$2:$A$11,0))</f>
        <v>Alimentos</v>
      </c>
      <c r="G58" t="str">
        <f>INDEX(Clientes!$B$2:$B$11,MATCH(Datos_Ventas!C58,Clientes!$A$2:$A$11,0))</f>
        <v>Supermercado Cuyo</v>
      </c>
      <c r="H58" t="str">
        <f>INDEX(Clientes!$C$2:$C$11,MATCH(Datos_Ventas!C58,Clientes!$A$2:$A$11,0))</f>
        <v>Retail</v>
      </c>
      <c r="I58" t="str">
        <f>INDEX(Clientes!$D$2:$D$11,MATCH(Datos_Ventas!C58,Clientes!$A$2:$A$11,0))</f>
        <v>Guaymallén</v>
      </c>
      <c r="J58">
        <f>Datos_Ventas!E58</f>
        <v>27</v>
      </c>
      <c r="K58" s="29">
        <f>Datos_Ventas!F58</f>
        <v>19700</v>
      </c>
      <c r="L58" s="29">
        <f>Datos_Ventas!G58</f>
        <v>531900</v>
      </c>
      <c r="M58" s="29">
        <f>J58*INDEX(Productos!$D$2:$D$11,MATCH(Datos_Ventas!D58,Productos!$A$2:$A$11,0))</f>
        <v>337500</v>
      </c>
      <c r="N58" s="29">
        <f t="shared" si="2"/>
        <v>194400</v>
      </c>
      <c r="O58" s="30">
        <f>K58/INDEX(Productos!$E$2:$E$11,MATCH(Datos_Ventas!D58,Productos!$A$2:$A$11,0))-1</f>
        <v>4.2328042328042326E-2</v>
      </c>
      <c r="P58">
        <f t="shared" si="3"/>
        <v>1</v>
      </c>
    </row>
    <row r="59" spans="1:16" x14ac:dyDescent="0.2">
      <c r="A59">
        <f>Datos_Ventas!A59</f>
        <v>60</v>
      </c>
      <c r="B59" s="13">
        <f>Datos_Ventas!B59</f>
        <v>46062</v>
      </c>
      <c r="C59" t="str">
        <f t="shared" si="0"/>
        <v>02 Feb</v>
      </c>
      <c r="D59" t="str">
        <f t="shared" si="1"/>
        <v>T1</v>
      </c>
      <c r="E59" t="str">
        <f>INDEX(Productos!$B$2:$B$11,MATCH(Datos_Ventas!D59,Productos!$A$2:$A$11,0))</f>
        <v>Alimento Balanceado 15kg</v>
      </c>
      <c r="F59" t="str">
        <f>INDEX(Productos!$C$2:$C$11,MATCH(Datos_Ventas!D59,Productos!$A$2:$A$11,0))</f>
        <v>Alimentos</v>
      </c>
      <c r="G59" t="str">
        <f>INDEX(Clientes!$B$2:$B$11,MATCH(Datos_Ventas!C59,Clientes!$A$2:$A$11,0))</f>
        <v>Autoservicio Norte</v>
      </c>
      <c r="H59" t="str">
        <f>INDEX(Clientes!$C$2:$C$11,MATCH(Datos_Ventas!C59,Clientes!$A$2:$A$11,0))</f>
        <v>Retail</v>
      </c>
      <c r="I59" t="str">
        <f>INDEX(Clientes!$D$2:$D$11,MATCH(Datos_Ventas!C59,Clientes!$A$2:$A$11,0))</f>
        <v>Las Heras</v>
      </c>
      <c r="J59">
        <f>Datos_Ventas!E59</f>
        <v>14</v>
      </c>
      <c r="K59" s="29">
        <f>Datos_Ventas!F59</f>
        <v>14560</v>
      </c>
      <c r="L59" s="29">
        <f>Datos_Ventas!G59</f>
        <v>203840</v>
      </c>
      <c r="M59" s="29">
        <f>J59*INDEX(Productos!$D$2:$D$11,MATCH(Datos_Ventas!D59,Productos!$A$2:$A$11,0))</f>
        <v>137200</v>
      </c>
      <c r="N59" s="29">
        <f t="shared" si="2"/>
        <v>66640</v>
      </c>
      <c r="O59" s="30">
        <f>K59/INDEX(Productos!$E$2:$E$11,MATCH(Datos_Ventas!D59,Productos!$A$2:$A$11,0))-1</f>
        <v>4.1379310344826781E-3</v>
      </c>
      <c r="P59">
        <f t="shared" si="3"/>
        <v>1</v>
      </c>
    </row>
    <row r="60" spans="1:16" x14ac:dyDescent="0.2">
      <c r="A60">
        <f>Datos_Ventas!A60</f>
        <v>61</v>
      </c>
      <c r="B60" s="13">
        <f>Datos_Ventas!B60</f>
        <v>46063</v>
      </c>
      <c r="C60" t="str">
        <f t="shared" si="0"/>
        <v>02 Feb</v>
      </c>
      <c r="D60" t="str">
        <f t="shared" si="1"/>
        <v>T1</v>
      </c>
      <c r="E60" t="str">
        <f>INDEX(Productos!$B$2:$B$11,MATCH(Datos_Ventas!D60,Productos!$A$2:$A$11,0))</f>
        <v>Collar Ajustable</v>
      </c>
      <c r="F60" t="str">
        <f>INDEX(Productos!$C$2:$C$11,MATCH(Datos_Ventas!D60,Productos!$A$2:$A$11,0))</f>
        <v>Accesorios</v>
      </c>
      <c r="G60" t="str">
        <f>INDEX(Clientes!$B$2:$B$11,MATCH(Datos_Ventas!C60,Clientes!$A$2:$A$11,0))</f>
        <v>Veterinaria Sur</v>
      </c>
      <c r="H60" t="str">
        <f>INDEX(Clientes!$C$2:$C$11,MATCH(Datos_Ventas!C60,Clientes!$A$2:$A$11,0))</f>
        <v>Especializado</v>
      </c>
      <c r="I60" t="str">
        <f>INDEX(Clientes!$D$2:$D$11,MATCH(Datos_Ventas!C60,Clientes!$A$2:$A$11,0))</f>
        <v>Godoy Cruz</v>
      </c>
      <c r="J60">
        <f>Datos_Ventas!E60</f>
        <v>24</v>
      </c>
      <c r="K60" s="29">
        <f>Datos_Ventas!F60</f>
        <v>3700</v>
      </c>
      <c r="L60" s="29">
        <f>Datos_Ventas!G60</f>
        <v>88800</v>
      </c>
      <c r="M60" s="29">
        <f>J60*INDEX(Productos!$D$2:$D$11,MATCH(Datos_Ventas!D60,Productos!$A$2:$A$11,0))</f>
        <v>45600</v>
      </c>
      <c r="N60" s="29">
        <f t="shared" si="2"/>
        <v>43200</v>
      </c>
      <c r="O60" s="30">
        <f>K60/INDEX(Productos!$E$2:$E$11,MATCH(Datos_Ventas!D60,Productos!$A$2:$A$11,0))-1</f>
        <v>2.7777777777777679E-2</v>
      </c>
      <c r="P60">
        <f t="shared" si="3"/>
        <v>1</v>
      </c>
    </row>
    <row r="61" spans="1:16" x14ac:dyDescent="0.2">
      <c r="A61">
        <f>Datos_Ventas!A61</f>
        <v>62</v>
      </c>
      <c r="B61" s="13">
        <f>Datos_Ventas!B61</f>
        <v>46063</v>
      </c>
      <c r="C61" t="str">
        <f t="shared" si="0"/>
        <v>02 Feb</v>
      </c>
      <c r="D61" t="str">
        <f t="shared" si="1"/>
        <v>T1</v>
      </c>
      <c r="E61" t="str">
        <f>INDEX(Productos!$B$2:$B$11,MATCH(Datos_Ventas!D61,Productos!$A$2:$A$11,0))</f>
        <v>Snack Dental</v>
      </c>
      <c r="F61" t="str">
        <f>INDEX(Productos!$C$2:$C$11,MATCH(Datos_Ventas!D61,Productos!$A$2:$A$11,0))</f>
        <v>Snacks</v>
      </c>
      <c r="G61" t="str">
        <f>INDEX(Clientes!$B$2:$B$11,MATCH(Datos_Ventas!C61,Clientes!$A$2:$A$11,0))</f>
        <v>Veterinaria Sur</v>
      </c>
      <c r="H61" t="str">
        <f>INDEX(Clientes!$C$2:$C$11,MATCH(Datos_Ventas!C61,Clientes!$A$2:$A$11,0))</f>
        <v>Especializado</v>
      </c>
      <c r="I61" t="str">
        <f>INDEX(Clientes!$D$2:$D$11,MATCH(Datos_Ventas!C61,Clientes!$A$2:$A$11,0))</f>
        <v>Godoy Cruz</v>
      </c>
      <c r="J61">
        <f>Datos_Ventas!E61</f>
        <v>38</v>
      </c>
      <c r="K61" s="29">
        <f>Datos_Ventas!F61</f>
        <v>3180</v>
      </c>
      <c r="L61" s="29">
        <f>Datos_Ventas!G61</f>
        <v>120840</v>
      </c>
      <c r="M61" s="29">
        <f>J61*INDEX(Productos!$D$2:$D$11,MATCH(Datos_Ventas!D61,Productos!$A$2:$A$11,0))</f>
        <v>68400</v>
      </c>
      <c r="N61" s="29">
        <f t="shared" si="2"/>
        <v>52440</v>
      </c>
      <c r="O61" s="30">
        <f>K61/INDEX(Productos!$E$2:$E$11,MATCH(Datos_Ventas!D61,Productos!$A$2:$A$11,0))-1</f>
        <v>-6.2499999999999778E-3</v>
      </c>
      <c r="P61">
        <f t="shared" si="3"/>
        <v>1</v>
      </c>
    </row>
    <row r="62" spans="1:16" x14ac:dyDescent="0.2">
      <c r="A62">
        <f>Datos_Ventas!A62</f>
        <v>63</v>
      </c>
      <c r="B62" s="13">
        <f>Datos_Ventas!B62</f>
        <v>46065</v>
      </c>
      <c r="C62" t="str">
        <f t="shared" si="0"/>
        <v>02 Feb</v>
      </c>
      <c r="D62" t="str">
        <f t="shared" si="1"/>
        <v>T1</v>
      </c>
      <c r="E62" t="str">
        <f>INDEX(Productos!$B$2:$B$11,MATCH(Datos_Ventas!D62,Productos!$A$2:$A$11,0))</f>
        <v>Collar Ajustable</v>
      </c>
      <c r="F62" t="str">
        <f>INDEX(Productos!$C$2:$C$11,MATCH(Datos_Ventas!D62,Productos!$A$2:$A$11,0))</f>
        <v>Accesorios</v>
      </c>
      <c r="G62" t="str">
        <f>INDEX(Clientes!$B$2:$B$11,MATCH(Datos_Ventas!C62,Clientes!$A$2:$A$11,0))</f>
        <v>Almacén Don Pedro</v>
      </c>
      <c r="H62" t="str">
        <f>INDEX(Clientes!$C$2:$C$11,MATCH(Datos_Ventas!C62,Clientes!$A$2:$A$11,0))</f>
        <v>Minorista</v>
      </c>
      <c r="I62" t="str">
        <f>INDEX(Clientes!$D$2:$D$11,MATCH(Datos_Ventas!C62,Clientes!$A$2:$A$11,0))</f>
        <v>Maipú</v>
      </c>
      <c r="J62">
        <f>Datos_Ventas!E62</f>
        <v>35</v>
      </c>
      <c r="K62" s="29">
        <f>Datos_Ventas!F62</f>
        <v>3580</v>
      </c>
      <c r="L62" s="29">
        <f>Datos_Ventas!G62</f>
        <v>125300</v>
      </c>
      <c r="M62" s="29">
        <f>J62*INDEX(Productos!$D$2:$D$11,MATCH(Datos_Ventas!D62,Productos!$A$2:$A$11,0))</f>
        <v>66500</v>
      </c>
      <c r="N62" s="29">
        <f t="shared" si="2"/>
        <v>58800</v>
      </c>
      <c r="O62" s="30">
        <f>K62/INDEX(Productos!$E$2:$E$11,MATCH(Datos_Ventas!D62,Productos!$A$2:$A$11,0))-1</f>
        <v>-5.5555555555555358E-3</v>
      </c>
      <c r="P62">
        <f t="shared" si="3"/>
        <v>1</v>
      </c>
    </row>
    <row r="63" spans="1:16" x14ac:dyDescent="0.2">
      <c r="A63">
        <f>Datos_Ventas!A63</f>
        <v>64</v>
      </c>
      <c r="B63" s="13">
        <f>Datos_Ventas!B63</f>
        <v>46065</v>
      </c>
      <c r="C63" t="str">
        <f t="shared" si="0"/>
        <v>02 Feb</v>
      </c>
      <c r="D63" t="str">
        <f t="shared" si="1"/>
        <v>T1</v>
      </c>
      <c r="E63" t="str">
        <f>INDEX(Productos!$B$2:$B$11,MATCH(Datos_Ventas!D63,Productos!$A$2:$A$11,0))</f>
        <v>Snack Dental</v>
      </c>
      <c r="F63" t="str">
        <f>INDEX(Productos!$C$2:$C$11,MATCH(Datos_Ventas!D63,Productos!$A$2:$A$11,0))</f>
        <v>Snacks</v>
      </c>
      <c r="G63" t="str">
        <f>INDEX(Clientes!$B$2:$B$11,MATCH(Datos_Ventas!C63,Clientes!$A$2:$A$11,0))</f>
        <v>Distribuidora Andes</v>
      </c>
      <c r="H63" t="str">
        <f>INDEX(Clientes!$C$2:$C$11,MATCH(Datos_Ventas!C63,Clientes!$A$2:$A$11,0))</f>
        <v>Mayorista</v>
      </c>
      <c r="I63" t="str">
        <f>INDEX(Clientes!$D$2:$D$11,MATCH(Datos_Ventas!C63,Clientes!$A$2:$A$11,0))</f>
        <v>Mendoza</v>
      </c>
      <c r="J63">
        <f>Datos_Ventas!E63</f>
        <v>24</v>
      </c>
      <c r="K63" s="29">
        <f>Datos_Ventas!F63</f>
        <v>3350</v>
      </c>
      <c r="L63" s="29">
        <f>Datos_Ventas!G63</f>
        <v>80400</v>
      </c>
      <c r="M63" s="29">
        <f>J63*INDEX(Productos!$D$2:$D$11,MATCH(Datos_Ventas!D63,Productos!$A$2:$A$11,0))</f>
        <v>43200</v>
      </c>
      <c r="N63" s="29">
        <f t="shared" si="2"/>
        <v>37200</v>
      </c>
      <c r="O63" s="30">
        <f>K63/INDEX(Productos!$E$2:$E$11,MATCH(Datos_Ventas!D63,Productos!$A$2:$A$11,0))-1</f>
        <v>4.6875E-2</v>
      </c>
      <c r="P63">
        <f t="shared" si="3"/>
        <v>1</v>
      </c>
    </row>
    <row r="64" spans="1:16" x14ac:dyDescent="0.2">
      <c r="A64">
        <f>Datos_Ventas!A64</f>
        <v>65</v>
      </c>
      <c r="B64" s="13">
        <f>Datos_Ventas!B64</f>
        <v>46067</v>
      </c>
      <c r="C64" t="str">
        <f t="shared" si="0"/>
        <v>02 Feb</v>
      </c>
      <c r="D64" t="str">
        <f t="shared" si="1"/>
        <v>T1</v>
      </c>
      <c r="E64" t="str">
        <f>INDEX(Productos!$B$2:$B$11,MATCH(Datos_Ventas!D64,Productos!$A$2:$A$11,0))</f>
        <v>Aceite Omega</v>
      </c>
      <c r="F64" t="str">
        <f>INDEX(Productos!$C$2:$C$11,MATCH(Datos_Ventas!D64,Productos!$A$2:$A$11,0))</f>
        <v>Suplementos</v>
      </c>
      <c r="G64" t="str">
        <f>INDEX(Clientes!$B$2:$B$11,MATCH(Datos_Ventas!C64,Clientes!$A$2:$A$11,0))</f>
        <v>Mayorista del Sol</v>
      </c>
      <c r="H64" t="str">
        <f>INDEX(Clientes!$C$2:$C$11,MATCH(Datos_Ventas!C64,Clientes!$A$2:$A$11,0))</f>
        <v>Mayorista</v>
      </c>
      <c r="I64" t="str">
        <f>INDEX(Clientes!$D$2:$D$11,MATCH(Datos_Ventas!C64,Clientes!$A$2:$A$11,0))</f>
        <v>San Martín</v>
      </c>
      <c r="J64">
        <f>Datos_Ventas!E64</f>
        <v>38</v>
      </c>
      <c r="K64" s="29">
        <f>Datos_Ventas!F64</f>
        <v>5920</v>
      </c>
      <c r="L64" s="29">
        <f>Datos_Ventas!G64</f>
        <v>224960</v>
      </c>
      <c r="M64" s="29">
        <f>J64*INDEX(Productos!$D$2:$D$11,MATCH(Datos_Ventas!D64,Productos!$A$2:$A$11,0))</f>
        <v>117800</v>
      </c>
      <c r="N64" s="29">
        <f t="shared" si="2"/>
        <v>107160</v>
      </c>
      <c r="O64" s="30">
        <f>K64/INDEX(Productos!$E$2:$E$11,MATCH(Datos_Ventas!D64,Productos!$A$2:$A$11,0))-1</f>
        <v>5.7142857142857162E-2</v>
      </c>
      <c r="P64">
        <f t="shared" si="3"/>
        <v>1</v>
      </c>
    </row>
    <row r="65" spans="1:16" x14ac:dyDescent="0.2">
      <c r="A65">
        <f>Datos_Ventas!A65</f>
        <v>66</v>
      </c>
      <c r="B65" s="13">
        <f>Datos_Ventas!B65</f>
        <v>46067</v>
      </c>
      <c r="C65" t="str">
        <f t="shared" si="0"/>
        <v>02 Feb</v>
      </c>
      <c r="D65" t="str">
        <f t="shared" si="1"/>
        <v>T1</v>
      </c>
      <c r="E65" t="str">
        <f>INDEX(Productos!$B$2:$B$11,MATCH(Datos_Ventas!D65,Productos!$A$2:$A$11,0))</f>
        <v>Alimento Premium 10kg</v>
      </c>
      <c r="F65" t="str">
        <f>INDEX(Productos!$C$2:$C$11,MATCH(Datos_Ventas!D65,Productos!$A$2:$A$11,0))</f>
        <v>Alimentos</v>
      </c>
      <c r="G65" t="str">
        <f>INDEX(Clientes!$B$2:$B$11,MATCH(Datos_Ventas!C65,Clientes!$A$2:$A$11,0))</f>
        <v>Kiosco La Esquina</v>
      </c>
      <c r="H65" t="str">
        <f>INDEX(Clientes!$C$2:$C$11,MATCH(Datos_Ventas!C65,Clientes!$A$2:$A$11,0))</f>
        <v>Minorista</v>
      </c>
      <c r="I65" t="str">
        <f>INDEX(Clientes!$D$2:$D$11,MATCH(Datos_Ventas!C65,Clientes!$A$2:$A$11,0))</f>
        <v>Godoy Cruz</v>
      </c>
      <c r="J65">
        <f>Datos_Ventas!E65</f>
        <v>22</v>
      </c>
      <c r="K65" s="29">
        <f>Datos_Ventas!F65</f>
        <v>17670</v>
      </c>
      <c r="L65" s="29">
        <f>Datos_Ventas!G65</f>
        <v>388740</v>
      </c>
      <c r="M65" s="29">
        <f>J65*INDEX(Productos!$D$2:$D$11,MATCH(Datos_Ventas!D65,Productos!$A$2:$A$11,0))</f>
        <v>275000</v>
      </c>
      <c r="N65" s="29">
        <f t="shared" si="2"/>
        <v>113740</v>
      </c>
      <c r="O65" s="30">
        <f>K65/INDEX(Productos!$E$2:$E$11,MATCH(Datos_Ventas!D65,Productos!$A$2:$A$11,0))-1</f>
        <v>-6.507936507936507E-2</v>
      </c>
      <c r="P65">
        <f t="shared" si="3"/>
        <v>1</v>
      </c>
    </row>
    <row r="66" spans="1:16" x14ac:dyDescent="0.2">
      <c r="A66">
        <f>Datos_Ventas!A66</f>
        <v>67</v>
      </c>
      <c r="B66" s="13">
        <f>Datos_Ventas!B66</f>
        <v>46068</v>
      </c>
      <c r="C66" t="str">
        <f t="shared" ref="C66:C129" si="4">CHOOSE(MONTH(B66),"01 Ene","02 Feb","03 Mar","04 Abr","05 May","06 Jun","07 Jul","08 Ago","09 Sep","10 Oct","11 Nov","12 Dic")</f>
        <v>02 Feb</v>
      </c>
      <c r="D66" t="str">
        <f t="shared" ref="D66:D129" si="5">"T"&amp;ROUNDUP(MONTH(B66)/3,0)</f>
        <v>T1</v>
      </c>
      <c r="E66" t="str">
        <f>INDEX(Productos!$B$2:$B$11,MATCH(Datos_Ventas!D66,Productos!$A$2:$A$11,0))</f>
        <v>Shampoo Mascotas</v>
      </c>
      <c r="F66" t="str">
        <f>INDEX(Productos!$C$2:$C$11,MATCH(Datos_Ventas!D66,Productos!$A$2:$A$11,0))</f>
        <v>Higiene</v>
      </c>
      <c r="G66" t="str">
        <f>INDEX(Clientes!$B$2:$B$11,MATCH(Datos_Ventas!C66,Clientes!$A$2:$A$11,0))</f>
        <v>Supermercado Cuyo</v>
      </c>
      <c r="H66" t="str">
        <f>INDEX(Clientes!$C$2:$C$11,MATCH(Datos_Ventas!C66,Clientes!$A$2:$A$11,0))</f>
        <v>Retail</v>
      </c>
      <c r="I66" t="str">
        <f>INDEX(Clientes!$D$2:$D$11,MATCH(Datos_Ventas!C66,Clientes!$A$2:$A$11,0))</f>
        <v>Guaymallén</v>
      </c>
      <c r="J66">
        <f>Datos_Ventas!E66</f>
        <v>6</v>
      </c>
      <c r="K66" s="29">
        <f>Datos_Ventas!F66</f>
        <v>3980</v>
      </c>
      <c r="L66" s="29">
        <f>Datos_Ventas!G66</f>
        <v>23880</v>
      </c>
      <c r="M66" s="29">
        <f>J66*INDEX(Productos!$D$2:$D$11,MATCH(Datos_Ventas!D66,Productos!$A$2:$A$11,0))</f>
        <v>13200</v>
      </c>
      <c r="N66" s="29">
        <f t="shared" ref="N66:N129" si="6">L66-M66</f>
        <v>10680</v>
      </c>
      <c r="O66" s="30">
        <f>K66/INDEX(Productos!$E$2:$E$11,MATCH(Datos_Ventas!D66,Productos!$A$2:$A$11,0))-1</f>
        <v>2.051282051282044E-2</v>
      </c>
      <c r="P66">
        <f t="shared" ref="P66:P129" si="7">SUBTOTAL(103,A66)</f>
        <v>1</v>
      </c>
    </row>
    <row r="67" spans="1:16" x14ac:dyDescent="0.2">
      <c r="A67">
        <f>Datos_Ventas!A67</f>
        <v>68</v>
      </c>
      <c r="B67" s="13">
        <f>Datos_Ventas!B67</f>
        <v>46068</v>
      </c>
      <c r="C67" t="str">
        <f t="shared" si="4"/>
        <v>02 Feb</v>
      </c>
      <c r="D67" t="str">
        <f t="shared" si="5"/>
        <v>T1</v>
      </c>
      <c r="E67" t="str">
        <f>INDEX(Productos!$B$2:$B$11,MATCH(Datos_Ventas!D67,Productos!$A$2:$A$11,0))</f>
        <v>Arena Sanitaria</v>
      </c>
      <c r="F67" t="str">
        <f>INDEX(Productos!$C$2:$C$11,MATCH(Datos_Ventas!D67,Productos!$A$2:$A$11,0))</f>
        <v>Higiene</v>
      </c>
      <c r="G67" t="str">
        <f>INDEX(Clientes!$B$2:$B$11,MATCH(Datos_Ventas!C67,Clientes!$A$2:$A$11,0))</f>
        <v>Autoservicio Norte</v>
      </c>
      <c r="H67" t="str">
        <f>INDEX(Clientes!$C$2:$C$11,MATCH(Datos_Ventas!C67,Clientes!$A$2:$A$11,0))</f>
        <v>Retail</v>
      </c>
      <c r="I67" t="str">
        <f>INDEX(Clientes!$D$2:$D$11,MATCH(Datos_Ventas!C67,Clientes!$A$2:$A$11,0))</f>
        <v>Las Heras</v>
      </c>
      <c r="J67">
        <f>Datos_Ventas!E67</f>
        <v>40</v>
      </c>
      <c r="K67" s="29">
        <f>Datos_Ventas!F67</f>
        <v>4370</v>
      </c>
      <c r="L67" s="29">
        <f>Datos_Ventas!G67</f>
        <v>174800</v>
      </c>
      <c r="M67" s="29">
        <f>J67*INDEX(Productos!$D$2:$D$11,MATCH(Datos_Ventas!D67,Productos!$A$2:$A$11,0))</f>
        <v>104000</v>
      </c>
      <c r="N67" s="29">
        <f t="shared" si="6"/>
        <v>70800</v>
      </c>
      <c r="O67" s="30">
        <f>K67/INDEX(Productos!$E$2:$E$11,MATCH(Datos_Ventas!D67,Productos!$A$2:$A$11,0))-1</f>
        <v>-6.8181818181818343E-3</v>
      </c>
      <c r="P67">
        <f t="shared" si="7"/>
        <v>1</v>
      </c>
    </row>
    <row r="68" spans="1:16" x14ac:dyDescent="0.2">
      <c r="A68">
        <f>Datos_Ventas!A68</f>
        <v>69</v>
      </c>
      <c r="B68" s="13">
        <f>Datos_Ventas!B68</f>
        <v>46068</v>
      </c>
      <c r="C68" t="str">
        <f t="shared" si="4"/>
        <v>02 Feb</v>
      </c>
      <c r="D68" t="str">
        <f t="shared" si="5"/>
        <v>T1</v>
      </c>
      <c r="E68" t="str">
        <f>INDEX(Productos!$B$2:$B$11,MATCH(Datos_Ventas!D68,Productos!$A$2:$A$11,0))</f>
        <v>Galletas Perro</v>
      </c>
      <c r="F68" t="str">
        <f>INDEX(Productos!$C$2:$C$11,MATCH(Datos_Ventas!D68,Productos!$A$2:$A$11,0))</f>
        <v>Snacks</v>
      </c>
      <c r="G68" t="str">
        <f>INDEX(Clientes!$B$2:$B$11,MATCH(Datos_Ventas!C68,Clientes!$A$2:$A$11,0))</f>
        <v>Supermercado Cuyo</v>
      </c>
      <c r="H68" t="str">
        <f>INDEX(Clientes!$C$2:$C$11,MATCH(Datos_Ventas!C68,Clientes!$A$2:$A$11,0))</f>
        <v>Retail</v>
      </c>
      <c r="I68" t="str">
        <f>INDEX(Clientes!$D$2:$D$11,MATCH(Datos_Ventas!C68,Clientes!$A$2:$A$11,0))</f>
        <v>Guaymallén</v>
      </c>
      <c r="J68">
        <f>Datos_Ventas!E68</f>
        <v>26</v>
      </c>
      <c r="K68" s="29">
        <f>Datos_Ventas!F68</f>
        <v>2480</v>
      </c>
      <c r="L68" s="29">
        <f>Datos_Ventas!G68</f>
        <v>64480</v>
      </c>
      <c r="M68" s="29">
        <f>J68*INDEX(Productos!$D$2:$D$11,MATCH(Datos_Ventas!D68,Productos!$A$2:$A$11,0))</f>
        <v>39000</v>
      </c>
      <c r="N68" s="29">
        <f t="shared" si="6"/>
        <v>25480</v>
      </c>
      <c r="O68" s="30">
        <f>K68/INDEX(Productos!$E$2:$E$11,MATCH(Datos_Ventas!D68,Productos!$A$2:$A$11,0))-1</f>
        <v>-8.1481481481481488E-2</v>
      </c>
      <c r="P68">
        <f t="shared" si="7"/>
        <v>1</v>
      </c>
    </row>
    <row r="69" spans="1:16" x14ac:dyDescent="0.2">
      <c r="A69">
        <f>Datos_Ventas!A69</f>
        <v>70</v>
      </c>
      <c r="B69" s="13">
        <f>Datos_Ventas!B69</f>
        <v>46069</v>
      </c>
      <c r="C69" t="str">
        <f t="shared" si="4"/>
        <v>02 Feb</v>
      </c>
      <c r="D69" t="str">
        <f t="shared" si="5"/>
        <v>T1</v>
      </c>
      <c r="E69" t="str">
        <f>INDEX(Productos!$B$2:$B$11,MATCH(Datos_Ventas!D69,Productos!$A$2:$A$11,0))</f>
        <v>Shampoo Mascotas</v>
      </c>
      <c r="F69" t="str">
        <f>INDEX(Productos!$C$2:$C$11,MATCH(Datos_Ventas!D69,Productos!$A$2:$A$11,0))</f>
        <v>Higiene</v>
      </c>
      <c r="G69" t="str">
        <f>INDEX(Clientes!$B$2:$B$11,MATCH(Datos_Ventas!C69,Clientes!$A$2:$A$11,0))</f>
        <v>Almacén Don Pedro</v>
      </c>
      <c r="H69" t="str">
        <f>INDEX(Clientes!$C$2:$C$11,MATCH(Datos_Ventas!C69,Clientes!$A$2:$A$11,0))</f>
        <v>Minorista</v>
      </c>
      <c r="I69" t="str">
        <f>INDEX(Clientes!$D$2:$D$11,MATCH(Datos_Ventas!C69,Clientes!$A$2:$A$11,0))</f>
        <v>Maipú</v>
      </c>
      <c r="J69">
        <f>Datos_Ventas!E69</f>
        <v>33</v>
      </c>
      <c r="K69" s="29">
        <f>Datos_Ventas!F69</f>
        <v>3960</v>
      </c>
      <c r="L69" s="29">
        <f>Datos_Ventas!G69</f>
        <v>130680</v>
      </c>
      <c r="M69" s="29">
        <f>J69*INDEX(Productos!$D$2:$D$11,MATCH(Datos_Ventas!D69,Productos!$A$2:$A$11,0))</f>
        <v>72600</v>
      </c>
      <c r="N69" s="29">
        <f t="shared" si="6"/>
        <v>58080</v>
      </c>
      <c r="O69" s="30">
        <f>K69/INDEX(Productos!$E$2:$E$11,MATCH(Datos_Ventas!D69,Productos!$A$2:$A$11,0))-1</f>
        <v>1.538461538461533E-2</v>
      </c>
      <c r="P69">
        <f t="shared" si="7"/>
        <v>1</v>
      </c>
    </row>
    <row r="70" spans="1:16" x14ac:dyDescent="0.2">
      <c r="A70">
        <f>Datos_Ventas!A70</f>
        <v>71</v>
      </c>
      <c r="B70" s="13">
        <f>Datos_Ventas!B70</f>
        <v>46069</v>
      </c>
      <c r="C70" t="str">
        <f t="shared" si="4"/>
        <v>02 Feb</v>
      </c>
      <c r="D70" t="str">
        <f t="shared" si="5"/>
        <v>T1</v>
      </c>
      <c r="E70" t="str">
        <f>INDEX(Productos!$B$2:$B$11,MATCH(Datos_Ventas!D70,Productos!$A$2:$A$11,0))</f>
        <v>Aceite Omega</v>
      </c>
      <c r="F70" t="str">
        <f>INDEX(Productos!$C$2:$C$11,MATCH(Datos_Ventas!D70,Productos!$A$2:$A$11,0))</f>
        <v>Suplementos</v>
      </c>
      <c r="G70" t="str">
        <f>INDEX(Clientes!$B$2:$B$11,MATCH(Datos_Ventas!C70,Clientes!$A$2:$A$11,0))</f>
        <v>Mayorista del Sol</v>
      </c>
      <c r="H70" t="str">
        <f>INDEX(Clientes!$C$2:$C$11,MATCH(Datos_Ventas!C70,Clientes!$A$2:$A$11,0))</f>
        <v>Mayorista</v>
      </c>
      <c r="I70" t="str">
        <f>INDEX(Clientes!$D$2:$D$11,MATCH(Datos_Ventas!C70,Clientes!$A$2:$A$11,0))</f>
        <v>San Martín</v>
      </c>
      <c r="J70">
        <f>Datos_Ventas!E70</f>
        <v>32</v>
      </c>
      <c r="K70" s="29">
        <f>Datos_Ventas!F70</f>
        <v>5590</v>
      </c>
      <c r="L70" s="29">
        <f>Datos_Ventas!G70</f>
        <v>178880</v>
      </c>
      <c r="M70" s="29">
        <f>J70*INDEX(Productos!$D$2:$D$11,MATCH(Datos_Ventas!D70,Productos!$A$2:$A$11,0))</f>
        <v>99200</v>
      </c>
      <c r="N70" s="29">
        <f t="shared" si="6"/>
        <v>79680</v>
      </c>
      <c r="O70" s="30">
        <f>K70/INDEX(Productos!$E$2:$E$11,MATCH(Datos_Ventas!D70,Productos!$A$2:$A$11,0))-1</f>
        <v>-1.7857142857142794E-3</v>
      </c>
      <c r="P70">
        <f t="shared" si="7"/>
        <v>1</v>
      </c>
    </row>
    <row r="71" spans="1:16" x14ac:dyDescent="0.2">
      <c r="A71">
        <f>Datos_Ventas!A71</f>
        <v>72</v>
      </c>
      <c r="B71" s="13">
        <f>Datos_Ventas!B71</f>
        <v>46069</v>
      </c>
      <c r="C71" t="str">
        <f t="shared" si="4"/>
        <v>02 Feb</v>
      </c>
      <c r="D71" t="str">
        <f t="shared" si="5"/>
        <v>T1</v>
      </c>
      <c r="E71" t="str">
        <f>INDEX(Productos!$B$2:$B$11,MATCH(Datos_Ventas!D71,Productos!$A$2:$A$11,0))</f>
        <v>Collar Ajustable</v>
      </c>
      <c r="F71" t="str">
        <f>INDEX(Productos!$C$2:$C$11,MATCH(Datos_Ventas!D71,Productos!$A$2:$A$11,0))</f>
        <v>Accesorios</v>
      </c>
      <c r="G71" t="str">
        <f>INDEX(Clientes!$B$2:$B$11,MATCH(Datos_Ventas!C71,Clientes!$A$2:$A$11,0))</f>
        <v>Almacén Don Pedro</v>
      </c>
      <c r="H71" t="str">
        <f>INDEX(Clientes!$C$2:$C$11,MATCH(Datos_Ventas!C71,Clientes!$A$2:$A$11,0))</f>
        <v>Minorista</v>
      </c>
      <c r="I71" t="str">
        <f>INDEX(Clientes!$D$2:$D$11,MATCH(Datos_Ventas!C71,Clientes!$A$2:$A$11,0))</f>
        <v>Maipú</v>
      </c>
      <c r="J71">
        <f>Datos_Ventas!E71</f>
        <v>1</v>
      </c>
      <c r="K71" s="29">
        <f>Datos_Ventas!F71</f>
        <v>3370</v>
      </c>
      <c r="L71" s="29">
        <f>Datos_Ventas!G71</f>
        <v>3370</v>
      </c>
      <c r="M71" s="29">
        <f>J71*INDEX(Productos!$D$2:$D$11,MATCH(Datos_Ventas!D71,Productos!$A$2:$A$11,0))</f>
        <v>1900</v>
      </c>
      <c r="N71" s="29">
        <f t="shared" si="6"/>
        <v>1470</v>
      </c>
      <c r="O71" s="30">
        <f>K71/INDEX(Productos!$E$2:$E$11,MATCH(Datos_Ventas!D71,Productos!$A$2:$A$11,0))-1</f>
        <v>-6.3888888888888884E-2</v>
      </c>
      <c r="P71">
        <f t="shared" si="7"/>
        <v>1</v>
      </c>
    </row>
    <row r="72" spans="1:16" x14ac:dyDescent="0.2">
      <c r="A72">
        <f>Datos_Ventas!A72</f>
        <v>73</v>
      </c>
      <c r="B72" s="13">
        <f>Datos_Ventas!B72</f>
        <v>46070</v>
      </c>
      <c r="C72" t="str">
        <f t="shared" si="4"/>
        <v>02 Feb</v>
      </c>
      <c r="D72" t="str">
        <f t="shared" si="5"/>
        <v>T1</v>
      </c>
      <c r="E72" t="str">
        <f>INDEX(Productos!$B$2:$B$11,MATCH(Datos_Ventas!D72,Productos!$A$2:$A$11,0))</f>
        <v>Alimento Premium 10kg</v>
      </c>
      <c r="F72" t="str">
        <f>INDEX(Productos!$C$2:$C$11,MATCH(Datos_Ventas!D72,Productos!$A$2:$A$11,0))</f>
        <v>Alimentos</v>
      </c>
      <c r="G72" t="str">
        <f>INDEX(Clientes!$B$2:$B$11,MATCH(Datos_Ventas!C72,Clientes!$A$2:$A$11,0))</f>
        <v>Distribuidora Andes</v>
      </c>
      <c r="H72" t="str">
        <f>INDEX(Clientes!$C$2:$C$11,MATCH(Datos_Ventas!C72,Clientes!$A$2:$A$11,0))</f>
        <v>Mayorista</v>
      </c>
      <c r="I72" t="str">
        <f>INDEX(Clientes!$D$2:$D$11,MATCH(Datos_Ventas!C72,Clientes!$A$2:$A$11,0))</f>
        <v>Mendoza</v>
      </c>
      <c r="J72">
        <f>Datos_Ventas!E72</f>
        <v>30</v>
      </c>
      <c r="K72" s="29">
        <f>Datos_Ventas!F72</f>
        <v>18300</v>
      </c>
      <c r="L72" s="29">
        <f>Datos_Ventas!G72</f>
        <v>549000</v>
      </c>
      <c r="M72" s="29">
        <f>J72*INDEX(Productos!$D$2:$D$11,MATCH(Datos_Ventas!D72,Productos!$A$2:$A$11,0))</f>
        <v>375000</v>
      </c>
      <c r="N72" s="29">
        <f t="shared" si="6"/>
        <v>174000</v>
      </c>
      <c r="O72" s="30">
        <f>K72/INDEX(Productos!$E$2:$E$11,MATCH(Datos_Ventas!D72,Productos!$A$2:$A$11,0))-1</f>
        <v>-3.1746031746031744E-2</v>
      </c>
      <c r="P72">
        <f t="shared" si="7"/>
        <v>1</v>
      </c>
    </row>
    <row r="73" spans="1:16" x14ac:dyDescent="0.2">
      <c r="A73">
        <f>Datos_Ventas!A73</f>
        <v>74</v>
      </c>
      <c r="B73" s="13">
        <f>Datos_Ventas!B73</f>
        <v>46070</v>
      </c>
      <c r="C73" t="str">
        <f t="shared" si="4"/>
        <v>02 Feb</v>
      </c>
      <c r="D73" t="str">
        <f t="shared" si="5"/>
        <v>T1</v>
      </c>
      <c r="E73" t="str">
        <f>INDEX(Productos!$B$2:$B$11,MATCH(Datos_Ventas!D73,Productos!$A$2:$A$11,0))</f>
        <v>Aceite Omega</v>
      </c>
      <c r="F73" t="str">
        <f>INDEX(Productos!$C$2:$C$11,MATCH(Datos_Ventas!D73,Productos!$A$2:$A$11,0))</f>
        <v>Suplementos</v>
      </c>
      <c r="G73" t="str">
        <f>INDEX(Clientes!$B$2:$B$11,MATCH(Datos_Ventas!C73,Clientes!$A$2:$A$11,0))</f>
        <v>Pet Shop Mascotas</v>
      </c>
      <c r="H73" t="str">
        <f>INDEX(Clientes!$C$2:$C$11,MATCH(Datos_Ventas!C73,Clientes!$A$2:$A$11,0))</f>
        <v>Especializado</v>
      </c>
      <c r="I73" t="str">
        <f>INDEX(Clientes!$D$2:$D$11,MATCH(Datos_Ventas!C73,Clientes!$A$2:$A$11,0))</f>
        <v>Mendoza</v>
      </c>
      <c r="J73">
        <f>Datos_Ventas!E73</f>
        <v>29</v>
      </c>
      <c r="K73" s="29">
        <f>Datos_Ventas!F73</f>
        <v>5520</v>
      </c>
      <c r="L73" s="29">
        <f>Datos_Ventas!G73</f>
        <v>160080</v>
      </c>
      <c r="M73" s="29">
        <f>J73*INDEX(Productos!$D$2:$D$11,MATCH(Datos_Ventas!D73,Productos!$A$2:$A$11,0))</f>
        <v>89900</v>
      </c>
      <c r="N73" s="29">
        <f t="shared" si="6"/>
        <v>70180</v>
      </c>
      <c r="O73" s="30">
        <f>K73/INDEX(Productos!$E$2:$E$11,MATCH(Datos_Ventas!D73,Productos!$A$2:$A$11,0))-1</f>
        <v>-1.4285714285714235E-2</v>
      </c>
      <c r="P73">
        <f t="shared" si="7"/>
        <v>1</v>
      </c>
    </row>
    <row r="74" spans="1:16" x14ac:dyDescent="0.2">
      <c r="A74">
        <f>Datos_Ventas!A74</f>
        <v>75</v>
      </c>
      <c r="B74" s="13">
        <f>Datos_Ventas!B74</f>
        <v>46071</v>
      </c>
      <c r="C74" t="str">
        <f t="shared" si="4"/>
        <v>02 Feb</v>
      </c>
      <c r="D74" t="str">
        <f t="shared" si="5"/>
        <v>T1</v>
      </c>
      <c r="E74" t="str">
        <f>INDEX(Productos!$B$2:$B$11,MATCH(Datos_Ventas!D74,Productos!$A$2:$A$11,0))</f>
        <v>Juguete Pelota</v>
      </c>
      <c r="F74" t="str">
        <f>INDEX(Productos!$C$2:$C$11,MATCH(Datos_Ventas!D74,Productos!$A$2:$A$11,0))</f>
        <v>Accesorios</v>
      </c>
      <c r="G74" t="str">
        <f>INDEX(Clientes!$B$2:$B$11,MATCH(Datos_Ventas!C74,Clientes!$A$2:$A$11,0))</f>
        <v>Mayorista del Sol</v>
      </c>
      <c r="H74" t="str">
        <f>INDEX(Clientes!$C$2:$C$11,MATCH(Datos_Ventas!C74,Clientes!$A$2:$A$11,0))</f>
        <v>Mayorista</v>
      </c>
      <c r="I74" t="str">
        <f>INDEX(Clientes!$D$2:$D$11,MATCH(Datos_Ventas!C74,Clientes!$A$2:$A$11,0))</f>
        <v>San Martín</v>
      </c>
      <c r="J74">
        <f>Datos_Ventas!E74</f>
        <v>39</v>
      </c>
      <c r="K74" s="29">
        <f>Datos_Ventas!F74</f>
        <v>1810</v>
      </c>
      <c r="L74" s="29">
        <f>Datos_Ventas!G74</f>
        <v>70590</v>
      </c>
      <c r="M74" s="29">
        <f>J74*INDEX(Productos!$D$2:$D$11,MATCH(Datos_Ventas!D74,Productos!$A$2:$A$11,0))</f>
        <v>35100</v>
      </c>
      <c r="N74" s="29">
        <f t="shared" si="6"/>
        <v>35490</v>
      </c>
      <c r="O74" s="30">
        <f>K74/INDEX(Productos!$E$2:$E$11,MATCH(Datos_Ventas!D74,Productos!$A$2:$A$11,0))-1</f>
        <v>5.5555555555555358E-3</v>
      </c>
      <c r="P74">
        <f t="shared" si="7"/>
        <v>1</v>
      </c>
    </row>
    <row r="75" spans="1:16" x14ac:dyDescent="0.2">
      <c r="A75">
        <f>Datos_Ventas!A75</f>
        <v>76</v>
      </c>
      <c r="B75" s="13">
        <f>Datos_Ventas!B75</f>
        <v>46071</v>
      </c>
      <c r="C75" t="str">
        <f t="shared" si="4"/>
        <v>02 Feb</v>
      </c>
      <c r="D75" t="str">
        <f t="shared" si="5"/>
        <v>T1</v>
      </c>
      <c r="E75" t="str">
        <f>INDEX(Productos!$B$2:$B$11,MATCH(Datos_Ventas!D75,Productos!$A$2:$A$11,0))</f>
        <v>Aceite Omega</v>
      </c>
      <c r="F75" t="str">
        <f>INDEX(Productos!$C$2:$C$11,MATCH(Datos_Ventas!D75,Productos!$A$2:$A$11,0))</f>
        <v>Suplementos</v>
      </c>
      <c r="G75" t="str">
        <f>INDEX(Clientes!$B$2:$B$11,MATCH(Datos_Ventas!C75,Clientes!$A$2:$A$11,0))</f>
        <v>Mayorista del Sol</v>
      </c>
      <c r="H75" t="str">
        <f>INDEX(Clientes!$C$2:$C$11,MATCH(Datos_Ventas!C75,Clientes!$A$2:$A$11,0))</f>
        <v>Mayorista</v>
      </c>
      <c r="I75" t="str">
        <f>INDEX(Clientes!$D$2:$D$11,MATCH(Datos_Ventas!C75,Clientes!$A$2:$A$11,0))</f>
        <v>San Martín</v>
      </c>
      <c r="J75">
        <f>Datos_Ventas!E75</f>
        <v>31</v>
      </c>
      <c r="K75" s="29">
        <f>Datos_Ventas!F75</f>
        <v>5990</v>
      </c>
      <c r="L75" s="29">
        <f>Datos_Ventas!G75</f>
        <v>185690</v>
      </c>
      <c r="M75" s="29">
        <f>J75*INDEX(Productos!$D$2:$D$11,MATCH(Datos_Ventas!D75,Productos!$A$2:$A$11,0))</f>
        <v>96100</v>
      </c>
      <c r="N75" s="29">
        <f t="shared" si="6"/>
        <v>89590</v>
      </c>
      <c r="O75" s="30">
        <f>K75/INDEX(Productos!$E$2:$E$11,MATCH(Datos_Ventas!D75,Productos!$A$2:$A$11,0))-1</f>
        <v>6.9642857142857117E-2</v>
      </c>
      <c r="P75">
        <f t="shared" si="7"/>
        <v>1</v>
      </c>
    </row>
    <row r="76" spans="1:16" x14ac:dyDescent="0.2">
      <c r="A76">
        <f>Datos_Ventas!A76</f>
        <v>77</v>
      </c>
      <c r="B76" s="13">
        <f>Datos_Ventas!B76</f>
        <v>46072</v>
      </c>
      <c r="C76" t="str">
        <f t="shared" si="4"/>
        <v>02 Feb</v>
      </c>
      <c r="D76" t="str">
        <f t="shared" si="5"/>
        <v>T1</v>
      </c>
      <c r="E76" t="str">
        <f>INDEX(Productos!$B$2:$B$11,MATCH(Datos_Ventas!D76,Productos!$A$2:$A$11,0))</f>
        <v>Correa Reforzada</v>
      </c>
      <c r="F76" t="str">
        <f>INDEX(Productos!$C$2:$C$11,MATCH(Datos_Ventas!D76,Productos!$A$2:$A$11,0))</f>
        <v>Accesorios</v>
      </c>
      <c r="G76" t="str">
        <f>INDEX(Clientes!$B$2:$B$11,MATCH(Datos_Ventas!C76,Clientes!$A$2:$A$11,0))</f>
        <v>Hiper Centro</v>
      </c>
      <c r="H76" t="str">
        <f>INDEX(Clientes!$C$2:$C$11,MATCH(Datos_Ventas!C76,Clientes!$A$2:$A$11,0))</f>
        <v>Retail</v>
      </c>
      <c r="I76" t="str">
        <f>INDEX(Clientes!$D$2:$D$11,MATCH(Datos_Ventas!C76,Clientes!$A$2:$A$11,0))</f>
        <v>Luján de Cuyo</v>
      </c>
      <c r="J76">
        <f>Datos_Ventas!E76</f>
        <v>3</v>
      </c>
      <c r="K76" s="29">
        <f>Datos_Ventas!F76</f>
        <v>5350</v>
      </c>
      <c r="L76" s="29">
        <f>Datos_Ventas!G76</f>
        <v>16050</v>
      </c>
      <c r="M76" s="29">
        <f>J76*INDEX(Productos!$D$2:$D$11,MATCH(Datos_Ventas!D76,Productos!$A$2:$A$11,0))</f>
        <v>8400</v>
      </c>
      <c r="N76" s="29">
        <f t="shared" si="6"/>
        <v>7650</v>
      </c>
      <c r="O76" s="30">
        <f>K76/INDEX(Productos!$E$2:$E$11,MATCH(Datos_Ventas!D76,Productos!$A$2:$A$11,0))-1</f>
        <v>2.8846153846153744E-2</v>
      </c>
      <c r="P76">
        <f t="shared" si="7"/>
        <v>1</v>
      </c>
    </row>
    <row r="77" spans="1:16" x14ac:dyDescent="0.2">
      <c r="A77">
        <f>Datos_Ventas!A77</f>
        <v>78</v>
      </c>
      <c r="B77" s="13">
        <f>Datos_Ventas!B77</f>
        <v>46072</v>
      </c>
      <c r="C77" t="str">
        <f t="shared" si="4"/>
        <v>02 Feb</v>
      </c>
      <c r="D77" t="str">
        <f t="shared" si="5"/>
        <v>T1</v>
      </c>
      <c r="E77" t="str">
        <f>INDEX(Productos!$B$2:$B$11,MATCH(Datos_Ventas!D77,Productos!$A$2:$A$11,0))</f>
        <v>Shampoo Mascotas</v>
      </c>
      <c r="F77" t="str">
        <f>INDEX(Productos!$C$2:$C$11,MATCH(Datos_Ventas!D77,Productos!$A$2:$A$11,0))</f>
        <v>Higiene</v>
      </c>
      <c r="G77" t="str">
        <f>INDEX(Clientes!$B$2:$B$11,MATCH(Datos_Ventas!C77,Clientes!$A$2:$A$11,0))</f>
        <v>Distribuidora Andes</v>
      </c>
      <c r="H77" t="str">
        <f>INDEX(Clientes!$C$2:$C$11,MATCH(Datos_Ventas!C77,Clientes!$A$2:$A$11,0))</f>
        <v>Mayorista</v>
      </c>
      <c r="I77" t="str">
        <f>INDEX(Clientes!$D$2:$D$11,MATCH(Datos_Ventas!C77,Clientes!$A$2:$A$11,0))</f>
        <v>Mendoza</v>
      </c>
      <c r="J77">
        <f>Datos_Ventas!E77</f>
        <v>20</v>
      </c>
      <c r="K77" s="29">
        <f>Datos_Ventas!F77</f>
        <v>3930</v>
      </c>
      <c r="L77" s="29">
        <f>Datos_Ventas!G77</f>
        <v>78600</v>
      </c>
      <c r="M77" s="29">
        <f>J77*INDEX(Productos!$D$2:$D$11,MATCH(Datos_Ventas!D77,Productos!$A$2:$A$11,0))</f>
        <v>44000</v>
      </c>
      <c r="N77" s="29">
        <f t="shared" si="6"/>
        <v>34600</v>
      </c>
      <c r="O77" s="30">
        <f>K77/INDEX(Productos!$E$2:$E$11,MATCH(Datos_Ventas!D77,Productos!$A$2:$A$11,0))-1</f>
        <v>7.692307692307665E-3</v>
      </c>
      <c r="P77">
        <f t="shared" si="7"/>
        <v>1</v>
      </c>
    </row>
    <row r="78" spans="1:16" x14ac:dyDescent="0.2">
      <c r="A78">
        <f>Datos_Ventas!A78</f>
        <v>79</v>
      </c>
      <c r="B78" s="13">
        <f>Datos_Ventas!B78</f>
        <v>46073</v>
      </c>
      <c r="C78" t="str">
        <f t="shared" si="4"/>
        <v>02 Feb</v>
      </c>
      <c r="D78" t="str">
        <f t="shared" si="5"/>
        <v>T1</v>
      </c>
      <c r="E78" t="str">
        <f>INDEX(Productos!$B$2:$B$11,MATCH(Datos_Ventas!D78,Productos!$A$2:$A$11,0))</f>
        <v>Aceite Omega</v>
      </c>
      <c r="F78" t="str">
        <f>INDEX(Productos!$C$2:$C$11,MATCH(Datos_Ventas!D78,Productos!$A$2:$A$11,0))</f>
        <v>Suplementos</v>
      </c>
      <c r="G78" t="str">
        <f>INDEX(Clientes!$B$2:$B$11,MATCH(Datos_Ventas!C78,Clientes!$A$2:$A$11,0))</f>
        <v>Supermercado Cuyo</v>
      </c>
      <c r="H78" t="str">
        <f>INDEX(Clientes!$C$2:$C$11,MATCH(Datos_Ventas!C78,Clientes!$A$2:$A$11,0))</f>
        <v>Retail</v>
      </c>
      <c r="I78" t="str">
        <f>INDEX(Clientes!$D$2:$D$11,MATCH(Datos_Ventas!C78,Clientes!$A$2:$A$11,0))</f>
        <v>Guaymallén</v>
      </c>
      <c r="J78">
        <f>Datos_Ventas!E78</f>
        <v>13</v>
      </c>
      <c r="K78" s="29">
        <f>Datos_Ventas!F78</f>
        <v>5560</v>
      </c>
      <c r="L78" s="29">
        <f>Datos_Ventas!G78</f>
        <v>72280</v>
      </c>
      <c r="M78" s="29">
        <f>J78*INDEX(Productos!$D$2:$D$11,MATCH(Datos_Ventas!D78,Productos!$A$2:$A$11,0))</f>
        <v>40300</v>
      </c>
      <c r="N78" s="29">
        <f t="shared" si="6"/>
        <v>31980</v>
      </c>
      <c r="O78" s="30">
        <f>K78/INDEX(Productos!$E$2:$E$11,MATCH(Datos_Ventas!D78,Productos!$A$2:$A$11,0))-1</f>
        <v>-7.1428571428571175E-3</v>
      </c>
      <c r="P78">
        <f t="shared" si="7"/>
        <v>1</v>
      </c>
    </row>
    <row r="79" spans="1:16" x14ac:dyDescent="0.2">
      <c r="A79">
        <f>Datos_Ventas!A79</f>
        <v>80</v>
      </c>
      <c r="B79" s="13">
        <f>Datos_Ventas!B79</f>
        <v>46075</v>
      </c>
      <c r="C79" t="str">
        <f t="shared" si="4"/>
        <v>02 Feb</v>
      </c>
      <c r="D79" t="str">
        <f t="shared" si="5"/>
        <v>T1</v>
      </c>
      <c r="E79" t="str">
        <f>INDEX(Productos!$B$2:$B$11,MATCH(Datos_Ventas!D79,Productos!$A$2:$A$11,0))</f>
        <v>Alimento Premium 10kg</v>
      </c>
      <c r="F79" t="str">
        <f>INDEX(Productos!$C$2:$C$11,MATCH(Datos_Ventas!D79,Productos!$A$2:$A$11,0))</f>
        <v>Alimentos</v>
      </c>
      <c r="G79" t="str">
        <f>INDEX(Clientes!$B$2:$B$11,MATCH(Datos_Ventas!C79,Clientes!$A$2:$A$11,0))</f>
        <v>Mayorista del Sol</v>
      </c>
      <c r="H79" t="str">
        <f>INDEX(Clientes!$C$2:$C$11,MATCH(Datos_Ventas!C79,Clientes!$A$2:$A$11,0))</f>
        <v>Mayorista</v>
      </c>
      <c r="I79" t="str">
        <f>INDEX(Clientes!$D$2:$D$11,MATCH(Datos_Ventas!C79,Clientes!$A$2:$A$11,0))</f>
        <v>San Martín</v>
      </c>
      <c r="J79">
        <f>Datos_Ventas!E79</f>
        <v>5</v>
      </c>
      <c r="K79" s="29">
        <f>Datos_Ventas!F79</f>
        <v>17970</v>
      </c>
      <c r="L79" s="29">
        <f>Datos_Ventas!G79</f>
        <v>89850</v>
      </c>
      <c r="M79" s="29">
        <f>J79*INDEX(Productos!$D$2:$D$11,MATCH(Datos_Ventas!D79,Productos!$A$2:$A$11,0))</f>
        <v>62500</v>
      </c>
      <c r="N79" s="29">
        <f t="shared" si="6"/>
        <v>27350</v>
      </c>
      <c r="O79" s="30">
        <f>K79/INDEX(Productos!$E$2:$E$11,MATCH(Datos_Ventas!D79,Productos!$A$2:$A$11,0))-1</f>
        <v>-4.9206349206349254E-2</v>
      </c>
      <c r="P79">
        <f t="shared" si="7"/>
        <v>1</v>
      </c>
    </row>
    <row r="80" spans="1:16" x14ac:dyDescent="0.2">
      <c r="A80">
        <f>Datos_Ventas!A80</f>
        <v>81</v>
      </c>
      <c r="B80" s="13">
        <f>Datos_Ventas!B80</f>
        <v>46075</v>
      </c>
      <c r="C80" t="str">
        <f t="shared" si="4"/>
        <v>02 Feb</v>
      </c>
      <c r="D80" t="str">
        <f t="shared" si="5"/>
        <v>T1</v>
      </c>
      <c r="E80" t="str">
        <f>INDEX(Productos!$B$2:$B$11,MATCH(Datos_Ventas!D80,Productos!$A$2:$A$11,0))</f>
        <v>Galletas Perro</v>
      </c>
      <c r="F80" t="str">
        <f>INDEX(Productos!$C$2:$C$11,MATCH(Datos_Ventas!D80,Productos!$A$2:$A$11,0))</f>
        <v>Snacks</v>
      </c>
      <c r="G80" t="str">
        <f>INDEX(Clientes!$B$2:$B$11,MATCH(Datos_Ventas!C80,Clientes!$A$2:$A$11,0))</f>
        <v>Autoservicio Norte</v>
      </c>
      <c r="H80" t="str">
        <f>INDEX(Clientes!$C$2:$C$11,MATCH(Datos_Ventas!C80,Clientes!$A$2:$A$11,0))</f>
        <v>Retail</v>
      </c>
      <c r="I80" t="str">
        <f>INDEX(Clientes!$D$2:$D$11,MATCH(Datos_Ventas!C80,Clientes!$A$2:$A$11,0))</f>
        <v>Las Heras</v>
      </c>
      <c r="J80">
        <f>Datos_Ventas!E80</f>
        <v>9</v>
      </c>
      <c r="K80" s="29">
        <f>Datos_Ventas!F80</f>
        <v>2590</v>
      </c>
      <c r="L80" s="29">
        <f>Datos_Ventas!G80</f>
        <v>23310</v>
      </c>
      <c r="M80" s="29">
        <f>J80*INDEX(Productos!$D$2:$D$11,MATCH(Datos_Ventas!D80,Productos!$A$2:$A$11,0))</f>
        <v>13500</v>
      </c>
      <c r="N80" s="29">
        <f t="shared" si="6"/>
        <v>9810</v>
      </c>
      <c r="O80" s="30">
        <f>K80/INDEX(Productos!$E$2:$E$11,MATCH(Datos_Ventas!D80,Productos!$A$2:$A$11,0))-1</f>
        <v>-4.0740740740740744E-2</v>
      </c>
      <c r="P80">
        <f t="shared" si="7"/>
        <v>1</v>
      </c>
    </row>
    <row r="81" spans="1:16" x14ac:dyDescent="0.2">
      <c r="A81">
        <f>Datos_Ventas!A81</f>
        <v>82</v>
      </c>
      <c r="B81" s="13">
        <f>Datos_Ventas!B81</f>
        <v>46078</v>
      </c>
      <c r="C81" t="str">
        <f t="shared" si="4"/>
        <v>02 Feb</v>
      </c>
      <c r="D81" t="str">
        <f t="shared" si="5"/>
        <v>T1</v>
      </c>
      <c r="E81" t="str">
        <f>INDEX(Productos!$B$2:$B$11,MATCH(Datos_Ventas!D81,Productos!$A$2:$A$11,0))</f>
        <v>Galletas Perro</v>
      </c>
      <c r="F81" t="str">
        <f>INDEX(Productos!$C$2:$C$11,MATCH(Datos_Ventas!D81,Productos!$A$2:$A$11,0))</f>
        <v>Snacks</v>
      </c>
      <c r="G81" t="str">
        <f>INDEX(Clientes!$B$2:$B$11,MATCH(Datos_Ventas!C81,Clientes!$A$2:$A$11,0))</f>
        <v>Pet Shop Mascotas</v>
      </c>
      <c r="H81" t="str">
        <f>INDEX(Clientes!$C$2:$C$11,MATCH(Datos_Ventas!C81,Clientes!$A$2:$A$11,0))</f>
        <v>Especializado</v>
      </c>
      <c r="I81" t="str">
        <f>INDEX(Clientes!$D$2:$D$11,MATCH(Datos_Ventas!C81,Clientes!$A$2:$A$11,0))</f>
        <v>Mendoza</v>
      </c>
      <c r="J81">
        <f>Datos_Ventas!E81</f>
        <v>1</v>
      </c>
      <c r="K81" s="29">
        <f>Datos_Ventas!F81</f>
        <v>2660</v>
      </c>
      <c r="L81" s="29">
        <f>Datos_Ventas!G81</f>
        <v>2660</v>
      </c>
      <c r="M81" s="29">
        <f>J81*INDEX(Productos!$D$2:$D$11,MATCH(Datos_Ventas!D81,Productos!$A$2:$A$11,0))</f>
        <v>1500</v>
      </c>
      <c r="N81" s="29">
        <f t="shared" si="6"/>
        <v>1160</v>
      </c>
      <c r="O81" s="30">
        <f>K81/INDEX(Productos!$E$2:$E$11,MATCH(Datos_Ventas!D81,Productos!$A$2:$A$11,0))-1</f>
        <v>-1.4814814814814836E-2</v>
      </c>
      <c r="P81">
        <f t="shared" si="7"/>
        <v>1</v>
      </c>
    </row>
    <row r="82" spans="1:16" x14ac:dyDescent="0.2">
      <c r="A82">
        <f>Datos_Ventas!A82</f>
        <v>83</v>
      </c>
      <c r="B82" s="13">
        <f>Datos_Ventas!B82</f>
        <v>46078</v>
      </c>
      <c r="C82" t="str">
        <f t="shared" si="4"/>
        <v>02 Feb</v>
      </c>
      <c r="D82" t="str">
        <f t="shared" si="5"/>
        <v>T1</v>
      </c>
      <c r="E82" t="str">
        <f>INDEX(Productos!$B$2:$B$11,MATCH(Datos_Ventas!D82,Productos!$A$2:$A$11,0))</f>
        <v>Alimento Premium 10kg</v>
      </c>
      <c r="F82" t="str">
        <f>INDEX(Productos!$C$2:$C$11,MATCH(Datos_Ventas!D82,Productos!$A$2:$A$11,0))</f>
        <v>Alimentos</v>
      </c>
      <c r="G82" t="str">
        <f>INDEX(Clientes!$B$2:$B$11,MATCH(Datos_Ventas!C82,Clientes!$A$2:$A$11,0))</f>
        <v>Despensa Vero</v>
      </c>
      <c r="H82" t="str">
        <f>INDEX(Clientes!$C$2:$C$11,MATCH(Datos_Ventas!C82,Clientes!$A$2:$A$11,0))</f>
        <v>Minorista</v>
      </c>
      <c r="I82" t="str">
        <f>INDEX(Clientes!$D$2:$D$11,MATCH(Datos_Ventas!C82,Clientes!$A$2:$A$11,0))</f>
        <v>Mendoza</v>
      </c>
      <c r="J82">
        <f>Datos_Ventas!E82</f>
        <v>18</v>
      </c>
      <c r="K82" s="29">
        <f>Datos_Ventas!F82</f>
        <v>17560</v>
      </c>
      <c r="L82" s="29">
        <f>Datos_Ventas!G82</f>
        <v>316080</v>
      </c>
      <c r="M82" s="29">
        <f>J82*INDEX(Productos!$D$2:$D$11,MATCH(Datos_Ventas!D82,Productos!$A$2:$A$11,0))</f>
        <v>225000</v>
      </c>
      <c r="N82" s="29">
        <f t="shared" si="6"/>
        <v>91080</v>
      </c>
      <c r="O82" s="30">
        <f>K82/INDEX(Productos!$E$2:$E$11,MATCH(Datos_Ventas!D82,Productos!$A$2:$A$11,0))-1</f>
        <v>-7.0899470899470907E-2</v>
      </c>
      <c r="P82">
        <f t="shared" si="7"/>
        <v>1</v>
      </c>
    </row>
    <row r="83" spans="1:16" x14ac:dyDescent="0.2">
      <c r="A83">
        <f>Datos_Ventas!A83</f>
        <v>84</v>
      </c>
      <c r="B83" s="13">
        <f>Datos_Ventas!B83</f>
        <v>46078</v>
      </c>
      <c r="C83" t="str">
        <f t="shared" si="4"/>
        <v>02 Feb</v>
      </c>
      <c r="D83" t="str">
        <f t="shared" si="5"/>
        <v>T1</v>
      </c>
      <c r="E83" t="str">
        <f>INDEX(Productos!$B$2:$B$11,MATCH(Datos_Ventas!D83,Productos!$A$2:$A$11,0))</f>
        <v>Shampoo Mascotas</v>
      </c>
      <c r="F83" t="str">
        <f>INDEX(Productos!$C$2:$C$11,MATCH(Datos_Ventas!D83,Productos!$A$2:$A$11,0))</f>
        <v>Higiene</v>
      </c>
      <c r="G83" t="str">
        <f>INDEX(Clientes!$B$2:$B$11,MATCH(Datos_Ventas!C83,Clientes!$A$2:$A$11,0))</f>
        <v>Pet Shop Mascotas</v>
      </c>
      <c r="H83" t="str">
        <f>INDEX(Clientes!$C$2:$C$11,MATCH(Datos_Ventas!C83,Clientes!$A$2:$A$11,0))</f>
        <v>Especializado</v>
      </c>
      <c r="I83" t="str">
        <f>INDEX(Clientes!$D$2:$D$11,MATCH(Datos_Ventas!C83,Clientes!$A$2:$A$11,0))</f>
        <v>Mendoza</v>
      </c>
      <c r="J83">
        <f>Datos_Ventas!E83</f>
        <v>16</v>
      </c>
      <c r="K83" s="29">
        <f>Datos_Ventas!F83</f>
        <v>4140</v>
      </c>
      <c r="L83" s="29">
        <f>Datos_Ventas!G83</f>
        <v>66240</v>
      </c>
      <c r="M83" s="29">
        <f>J83*INDEX(Productos!$D$2:$D$11,MATCH(Datos_Ventas!D83,Productos!$A$2:$A$11,0))</f>
        <v>35200</v>
      </c>
      <c r="N83" s="29">
        <f t="shared" si="6"/>
        <v>31040</v>
      </c>
      <c r="O83" s="30">
        <f>K83/INDEX(Productos!$E$2:$E$11,MATCH(Datos_Ventas!D83,Productos!$A$2:$A$11,0))-1</f>
        <v>6.1538461538461542E-2</v>
      </c>
      <c r="P83">
        <f t="shared" si="7"/>
        <v>1</v>
      </c>
    </row>
    <row r="84" spans="1:16" x14ac:dyDescent="0.2">
      <c r="A84">
        <f>Datos_Ventas!A84</f>
        <v>85</v>
      </c>
      <c r="B84" s="13">
        <f>Datos_Ventas!B84</f>
        <v>46078</v>
      </c>
      <c r="C84" t="str">
        <f t="shared" si="4"/>
        <v>02 Feb</v>
      </c>
      <c r="D84" t="str">
        <f t="shared" si="5"/>
        <v>T1</v>
      </c>
      <c r="E84" t="str">
        <f>INDEX(Productos!$B$2:$B$11,MATCH(Datos_Ventas!D84,Productos!$A$2:$A$11,0))</f>
        <v>Shampoo Mascotas</v>
      </c>
      <c r="F84" t="str">
        <f>INDEX(Productos!$C$2:$C$11,MATCH(Datos_Ventas!D84,Productos!$A$2:$A$11,0))</f>
        <v>Higiene</v>
      </c>
      <c r="G84" t="str">
        <f>INDEX(Clientes!$B$2:$B$11,MATCH(Datos_Ventas!C84,Clientes!$A$2:$A$11,0))</f>
        <v>Pet Shop Mascotas</v>
      </c>
      <c r="H84" t="str">
        <f>INDEX(Clientes!$C$2:$C$11,MATCH(Datos_Ventas!C84,Clientes!$A$2:$A$11,0))</f>
        <v>Especializado</v>
      </c>
      <c r="I84" t="str">
        <f>INDEX(Clientes!$D$2:$D$11,MATCH(Datos_Ventas!C84,Clientes!$A$2:$A$11,0))</f>
        <v>Mendoza</v>
      </c>
      <c r="J84">
        <f>Datos_Ventas!E84</f>
        <v>24</v>
      </c>
      <c r="K84" s="29">
        <f>Datos_Ventas!F84</f>
        <v>4170</v>
      </c>
      <c r="L84" s="29">
        <f>Datos_Ventas!G84</f>
        <v>100080</v>
      </c>
      <c r="M84" s="29">
        <f>J84*INDEX(Productos!$D$2:$D$11,MATCH(Datos_Ventas!D84,Productos!$A$2:$A$11,0))</f>
        <v>52800</v>
      </c>
      <c r="N84" s="29">
        <f t="shared" si="6"/>
        <v>47280</v>
      </c>
      <c r="O84" s="30">
        <f>K84/INDEX(Productos!$E$2:$E$11,MATCH(Datos_Ventas!D84,Productos!$A$2:$A$11,0))-1</f>
        <v>6.9230769230769207E-2</v>
      </c>
      <c r="P84">
        <f t="shared" si="7"/>
        <v>1</v>
      </c>
    </row>
    <row r="85" spans="1:16" x14ac:dyDescent="0.2">
      <c r="A85">
        <f>Datos_Ventas!A85</f>
        <v>86</v>
      </c>
      <c r="B85" s="13">
        <f>Datos_Ventas!B85</f>
        <v>46078</v>
      </c>
      <c r="C85" t="str">
        <f t="shared" si="4"/>
        <v>02 Feb</v>
      </c>
      <c r="D85" t="str">
        <f t="shared" si="5"/>
        <v>T1</v>
      </c>
      <c r="E85" t="str">
        <f>INDEX(Productos!$B$2:$B$11,MATCH(Datos_Ventas!D85,Productos!$A$2:$A$11,0))</f>
        <v>Alimento Balanceado 15kg</v>
      </c>
      <c r="F85" t="str">
        <f>INDEX(Productos!$C$2:$C$11,MATCH(Datos_Ventas!D85,Productos!$A$2:$A$11,0))</f>
        <v>Alimentos</v>
      </c>
      <c r="G85" t="str">
        <f>INDEX(Clientes!$B$2:$B$11,MATCH(Datos_Ventas!C85,Clientes!$A$2:$A$11,0))</f>
        <v>Veterinaria Sur</v>
      </c>
      <c r="H85" t="str">
        <f>INDEX(Clientes!$C$2:$C$11,MATCH(Datos_Ventas!C85,Clientes!$A$2:$A$11,0))</f>
        <v>Especializado</v>
      </c>
      <c r="I85" t="str">
        <f>INDEX(Clientes!$D$2:$D$11,MATCH(Datos_Ventas!C85,Clientes!$A$2:$A$11,0))</f>
        <v>Godoy Cruz</v>
      </c>
      <c r="J85">
        <f>Datos_Ventas!E85</f>
        <v>5</v>
      </c>
      <c r="K85" s="29">
        <f>Datos_Ventas!F85</f>
        <v>15470</v>
      </c>
      <c r="L85" s="29">
        <f>Datos_Ventas!G85</f>
        <v>77350</v>
      </c>
      <c r="M85" s="29">
        <f>J85*INDEX(Productos!$D$2:$D$11,MATCH(Datos_Ventas!D85,Productos!$A$2:$A$11,0))</f>
        <v>49000</v>
      </c>
      <c r="N85" s="29">
        <f t="shared" si="6"/>
        <v>28350</v>
      </c>
      <c r="O85" s="30">
        <f>K85/INDEX(Productos!$E$2:$E$11,MATCH(Datos_Ventas!D85,Productos!$A$2:$A$11,0))-1</f>
        <v>6.6896551724137998E-2</v>
      </c>
      <c r="P85">
        <f t="shared" si="7"/>
        <v>1</v>
      </c>
    </row>
    <row r="86" spans="1:16" x14ac:dyDescent="0.2">
      <c r="A86">
        <f>Datos_Ventas!A86</f>
        <v>87</v>
      </c>
      <c r="B86" s="13">
        <f>Datos_Ventas!B86</f>
        <v>46081</v>
      </c>
      <c r="C86" t="str">
        <f t="shared" si="4"/>
        <v>02 Feb</v>
      </c>
      <c r="D86" t="str">
        <f t="shared" si="5"/>
        <v>T1</v>
      </c>
      <c r="E86" t="str">
        <f>INDEX(Productos!$B$2:$B$11,MATCH(Datos_Ventas!D86,Productos!$A$2:$A$11,0))</f>
        <v>Juguete Pelota</v>
      </c>
      <c r="F86" t="str">
        <f>INDEX(Productos!$C$2:$C$11,MATCH(Datos_Ventas!D86,Productos!$A$2:$A$11,0))</f>
        <v>Accesorios</v>
      </c>
      <c r="G86" t="str">
        <f>INDEX(Clientes!$B$2:$B$11,MATCH(Datos_Ventas!C86,Clientes!$A$2:$A$11,0))</f>
        <v>Veterinaria Sur</v>
      </c>
      <c r="H86" t="str">
        <f>INDEX(Clientes!$C$2:$C$11,MATCH(Datos_Ventas!C86,Clientes!$A$2:$A$11,0))</f>
        <v>Especializado</v>
      </c>
      <c r="I86" t="str">
        <f>INDEX(Clientes!$D$2:$D$11,MATCH(Datos_Ventas!C86,Clientes!$A$2:$A$11,0))</f>
        <v>Godoy Cruz</v>
      </c>
      <c r="J86">
        <f>Datos_Ventas!E86</f>
        <v>7</v>
      </c>
      <c r="K86" s="29">
        <f>Datos_Ventas!F86</f>
        <v>1680</v>
      </c>
      <c r="L86" s="29">
        <f>Datos_Ventas!G86</f>
        <v>11760</v>
      </c>
      <c r="M86" s="29">
        <f>J86*INDEX(Productos!$D$2:$D$11,MATCH(Datos_Ventas!D86,Productos!$A$2:$A$11,0))</f>
        <v>6300</v>
      </c>
      <c r="N86" s="29">
        <f t="shared" si="6"/>
        <v>5460</v>
      </c>
      <c r="O86" s="30">
        <f>K86/INDEX(Productos!$E$2:$E$11,MATCH(Datos_Ventas!D86,Productos!$A$2:$A$11,0))-1</f>
        <v>-6.6666666666666652E-2</v>
      </c>
      <c r="P86">
        <f t="shared" si="7"/>
        <v>1</v>
      </c>
    </row>
    <row r="87" spans="1:16" x14ac:dyDescent="0.2">
      <c r="A87">
        <f>Datos_Ventas!A87</f>
        <v>88</v>
      </c>
      <c r="B87" s="13">
        <f>Datos_Ventas!B87</f>
        <v>46081</v>
      </c>
      <c r="C87" t="str">
        <f t="shared" si="4"/>
        <v>02 Feb</v>
      </c>
      <c r="D87" t="str">
        <f t="shared" si="5"/>
        <v>T1</v>
      </c>
      <c r="E87" t="str">
        <f>INDEX(Productos!$B$2:$B$11,MATCH(Datos_Ventas!D87,Productos!$A$2:$A$11,0))</f>
        <v>Juguete Pelota</v>
      </c>
      <c r="F87" t="str">
        <f>INDEX(Productos!$C$2:$C$11,MATCH(Datos_Ventas!D87,Productos!$A$2:$A$11,0))</f>
        <v>Accesorios</v>
      </c>
      <c r="G87" t="str">
        <f>INDEX(Clientes!$B$2:$B$11,MATCH(Datos_Ventas!C87,Clientes!$A$2:$A$11,0))</f>
        <v>Hiper Centro</v>
      </c>
      <c r="H87" t="str">
        <f>INDEX(Clientes!$C$2:$C$11,MATCH(Datos_Ventas!C87,Clientes!$A$2:$A$11,0))</f>
        <v>Retail</v>
      </c>
      <c r="I87" t="str">
        <f>INDEX(Clientes!$D$2:$D$11,MATCH(Datos_Ventas!C87,Clientes!$A$2:$A$11,0))</f>
        <v>Luján de Cuyo</v>
      </c>
      <c r="J87">
        <f>Datos_Ventas!E87</f>
        <v>26</v>
      </c>
      <c r="K87" s="29">
        <f>Datos_Ventas!F87</f>
        <v>1860</v>
      </c>
      <c r="L87" s="29">
        <f>Datos_Ventas!G87</f>
        <v>48360</v>
      </c>
      <c r="M87" s="29">
        <f>J87*INDEX(Productos!$D$2:$D$11,MATCH(Datos_Ventas!D87,Productos!$A$2:$A$11,0))</f>
        <v>23400</v>
      </c>
      <c r="N87" s="29">
        <f t="shared" si="6"/>
        <v>24960</v>
      </c>
      <c r="O87" s="30">
        <f>K87/INDEX(Productos!$E$2:$E$11,MATCH(Datos_Ventas!D87,Productos!$A$2:$A$11,0))-1</f>
        <v>3.3333333333333437E-2</v>
      </c>
      <c r="P87">
        <f t="shared" si="7"/>
        <v>1</v>
      </c>
    </row>
    <row r="88" spans="1:16" x14ac:dyDescent="0.2">
      <c r="A88">
        <f>Datos_Ventas!A88</f>
        <v>89</v>
      </c>
      <c r="B88" s="13">
        <f>Datos_Ventas!B88</f>
        <v>46083</v>
      </c>
      <c r="C88" t="str">
        <f t="shared" si="4"/>
        <v>03 Mar</v>
      </c>
      <c r="D88" t="str">
        <f t="shared" si="5"/>
        <v>T1</v>
      </c>
      <c r="E88" t="str">
        <f>INDEX(Productos!$B$2:$B$11,MATCH(Datos_Ventas!D88,Productos!$A$2:$A$11,0))</f>
        <v>Aceite Omega</v>
      </c>
      <c r="F88" t="str">
        <f>INDEX(Productos!$C$2:$C$11,MATCH(Datos_Ventas!D88,Productos!$A$2:$A$11,0))</f>
        <v>Suplementos</v>
      </c>
      <c r="G88" t="str">
        <f>INDEX(Clientes!$B$2:$B$11,MATCH(Datos_Ventas!C88,Clientes!$A$2:$A$11,0))</f>
        <v>Despensa Vero</v>
      </c>
      <c r="H88" t="str">
        <f>INDEX(Clientes!$C$2:$C$11,MATCH(Datos_Ventas!C88,Clientes!$A$2:$A$11,0))</f>
        <v>Minorista</v>
      </c>
      <c r="I88" t="str">
        <f>INDEX(Clientes!$D$2:$D$11,MATCH(Datos_Ventas!C88,Clientes!$A$2:$A$11,0))</f>
        <v>Mendoza</v>
      </c>
      <c r="J88">
        <f>Datos_Ventas!E88</f>
        <v>9</v>
      </c>
      <c r="K88" s="29">
        <f>Datos_Ventas!F88</f>
        <v>5160</v>
      </c>
      <c r="L88" s="29">
        <f>Datos_Ventas!G88</f>
        <v>46440</v>
      </c>
      <c r="M88" s="29">
        <f>J88*INDEX(Productos!$D$2:$D$11,MATCH(Datos_Ventas!D88,Productos!$A$2:$A$11,0))</f>
        <v>27900</v>
      </c>
      <c r="N88" s="29">
        <f t="shared" si="6"/>
        <v>18540</v>
      </c>
      <c r="O88" s="30">
        <f>K88/INDEX(Productos!$E$2:$E$11,MATCH(Datos_Ventas!D88,Productos!$A$2:$A$11,0))-1</f>
        <v>-7.8571428571428625E-2</v>
      </c>
      <c r="P88">
        <f t="shared" si="7"/>
        <v>1</v>
      </c>
    </row>
    <row r="89" spans="1:16" x14ac:dyDescent="0.2">
      <c r="A89">
        <f>Datos_Ventas!A89</f>
        <v>90</v>
      </c>
      <c r="B89" s="13">
        <f>Datos_Ventas!B89</f>
        <v>46085</v>
      </c>
      <c r="C89" t="str">
        <f t="shared" si="4"/>
        <v>03 Mar</v>
      </c>
      <c r="D89" t="str">
        <f t="shared" si="5"/>
        <v>T1</v>
      </c>
      <c r="E89" t="str">
        <f>INDEX(Productos!$B$2:$B$11,MATCH(Datos_Ventas!D89,Productos!$A$2:$A$11,0))</f>
        <v>Correa Reforzada</v>
      </c>
      <c r="F89" t="str">
        <f>INDEX(Productos!$C$2:$C$11,MATCH(Datos_Ventas!D89,Productos!$A$2:$A$11,0))</f>
        <v>Accesorios</v>
      </c>
      <c r="G89" t="str">
        <f>INDEX(Clientes!$B$2:$B$11,MATCH(Datos_Ventas!C89,Clientes!$A$2:$A$11,0))</f>
        <v>Veterinaria Sur</v>
      </c>
      <c r="H89" t="str">
        <f>INDEX(Clientes!$C$2:$C$11,MATCH(Datos_Ventas!C89,Clientes!$A$2:$A$11,0))</f>
        <v>Especializado</v>
      </c>
      <c r="I89" t="str">
        <f>INDEX(Clientes!$D$2:$D$11,MATCH(Datos_Ventas!C89,Clientes!$A$2:$A$11,0))</f>
        <v>Godoy Cruz</v>
      </c>
      <c r="J89">
        <f>Datos_Ventas!E89</f>
        <v>16</v>
      </c>
      <c r="K89" s="29">
        <f>Datos_Ventas!F89</f>
        <v>5020</v>
      </c>
      <c r="L89" s="29">
        <f>Datos_Ventas!G89</f>
        <v>80320</v>
      </c>
      <c r="M89" s="29">
        <f>J89*INDEX(Productos!$D$2:$D$11,MATCH(Datos_Ventas!D89,Productos!$A$2:$A$11,0))</f>
        <v>44800</v>
      </c>
      <c r="N89" s="29">
        <f t="shared" si="6"/>
        <v>35520</v>
      </c>
      <c r="O89" s="30">
        <f>K89/INDEX(Productos!$E$2:$E$11,MATCH(Datos_Ventas!D89,Productos!$A$2:$A$11,0))-1</f>
        <v>-3.4615384615384603E-2</v>
      </c>
      <c r="P89">
        <f t="shared" si="7"/>
        <v>1</v>
      </c>
    </row>
    <row r="90" spans="1:16" x14ac:dyDescent="0.2">
      <c r="A90">
        <f>Datos_Ventas!A90</f>
        <v>91</v>
      </c>
      <c r="B90" s="13">
        <f>Datos_Ventas!B90</f>
        <v>46085</v>
      </c>
      <c r="C90" t="str">
        <f t="shared" si="4"/>
        <v>03 Mar</v>
      </c>
      <c r="D90" t="str">
        <f t="shared" si="5"/>
        <v>T1</v>
      </c>
      <c r="E90" t="str">
        <f>INDEX(Productos!$B$2:$B$11,MATCH(Datos_Ventas!D90,Productos!$A$2:$A$11,0))</f>
        <v>Alimento Balanceado 15kg</v>
      </c>
      <c r="F90" t="str">
        <f>INDEX(Productos!$C$2:$C$11,MATCH(Datos_Ventas!D90,Productos!$A$2:$A$11,0))</f>
        <v>Alimentos</v>
      </c>
      <c r="G90" t="str">
        <f>INDEX(Clientes!$B$2:$B$11,MATCH(Datos_Ventas!C90,Clientes!$A$2:$A$11,0))</f>
        <v>Almacén Don Pedro</v>
      </c>
      <c r="H90" t="str">
        <f>INDEX(Clientes!$C$2:$C$11,MATCH(Datos_Ventas!C90,Clientes!$A$2:$A$11,0))</f>
        <v>Minorista</v>
      </c>
      <c r="I90" t="str">
        <f>INDEX(Clientes!$D$2:$D$11,MATCH(Datos_Ventas!C90,Clientes!$A$2:$A$11,0))</f>
        <v>Maipú</v>
      </c>
      <c r="J90">
        <f>Datos_Ventas!E90</f>
        <v>22</v>
      </c>
      <c r="K90" s="29">
        <f>Datos_Ventas!F90</f>
        <v>14680</v>
      </c>
      <c r="L90" s="29">
        <f>Datos_Ventas!G90</f>
        <v>322960</v>
      </c>
      <c r="M90" s="29">
        <f>J90*INDEX(Productos!$D$2:$D$11,MATCH(Datos_Ventas!D90,Productos!$A$2:$A$11,0))</f>
        <v>215600</v>
      </c>
      <c r="N90" s="29">
        <f t="shared" si="6"/>
        <v>107360</v>
      </c>
      <c r="O90" s="30">
        <f>K90/INDEX(Productos!$E$2:$E$11,MATCH(Datos_Ventas!D90,Productos!$A$2:$A$11,0))-1</f>
        <v>1.2413793103448256E-2</v>
      </c>
      <c r="P90">
        <f t="shared" si="7"/>
        <v>1</v>
      </c>
    </row>
    <row r="91" spans="1:16" x14ac:dyDescent="0.2">
      <c r="A91">
        <f>Datos_Ventas!A91</f>
        <v>93</v>
      </c>
      <c r="B91" s="13">
        <f>Datos_Ventas!B91</f>
        <v>46086</v>
      </c>
      <c r="C91" t="str">
        <f t="shared" si="4"/>
        <v>03 Mar</v>
      </c>
      <c r="D91" t="str">
        <f t="shared" si="5"/>
        <v>T1</v>
      </c>
      <c r="E91" t="str">
        <f>INDEX(Productos!$B$2:$B$11,MATCH(Datos_Ventas!D91,Productos!$A$2:$A$11,0))</f>
        <v>Aceite Omega</v>
      </c>
      <c r="F91" t="str">
        <f>INDEX(Productos!$C$2:$C$11,MATCH(Datos_Ventas!D91,Productos!$A$2:$A$11,0))</f>
        <v>Suplementos</v>
      </c>
      <c r="G91" t="str">
        <f>INDEX(Clientes!$B$2:$B$11,MATCH(Datos_Ventas!C91,Clientes!$A$2:$A$11,0))</f>
        <v>Mayorista del Sol</v>
      </c>
      <c r="H91" t="str">
        <f>INDEX(Clientes!$C$2:$C$11,MATCH(Datos_Ventas!C91,Clientes!$A$2:$A$11,0))</f>
        <v>Mayorista</v>
      </c>
      <c r="I91" t="str">
        <f>INDEX(Clientes!$D$2:$D$11,MATCH(Datos_Ventas!C91,Clientes!$A$2:$A$11,0))</f>
        <v>San Martín</v>
      </c>
      <c r="J91">
        <f>Datos_Ventas!E91</f>
        <v>34</v>
      </c>
      <c r="K91" s="29">
        <f>Datos_Ventas!F91</f>
        <v>5390</v>
      </c>
      <c r="L91" s="29">
        <f>Datos_Ventas!G91</f>
        <v>183260</v>
      </c>
      <c r="M91" s="29">
        <f>J91*INDEX(Productos!$D$2:$D$11,MATCH(Datos_Ventas!D91,Productos!$A$2:$A$11,0))</f>
        <v>105400</v>
      </c>
      <c r="N91" s="29">
        <f t="shared" si="6"/>
        <v>77860</v>
      </c>
      <c r="O91" s="30">
        <f>K91/INDEX(Productos!$E$2:$E$11,MATCH(Datos_Ventas!D91,Productos!$A$2:$A$11,0))-1</f>
        <v>-3.7499999999999978E-2</v>
      </c>
      <c r="P91">
        <f t="shared" si="7"/>
        <v>1</v>
      </c>
    </row>
    <row r="92" spans="1:16" x14ac:dyDescent="0.2">
      <c r="A92">
        <f>Datos_Ventas!A92</f>
        <v>94</v>
      </c>
      <c r="B92" s="13">
        <f>Datos_Ventas!B92</f>
        <v>46086</v>
      </c>
      <c r="C92" t="str">
        <f t="shared" si="4"/>
        <v>03 Mar</v>
      </c>
      <c r="D92" t="str">
        <f t="shared" si="5"/>
        <v>T1</v>
      </c>
      <c r="E92" t="str">
        <f>INDEX(Productos!$B$2:$B$11,MATCH(Datos_Ventas!D92,Productos!$A$2:$A$11,0))</f>
        <v>Alimento Premium 10kg</v>
      </c>
      <c r="F92" t="str">
        <f>INDEX(Productos!$C$2:$C$11,MATCH(Datos_Ventas!D92,Productos!$A$2:$A$11,0))</f>
        <v>Alimentos</v>
      </c>
      <c r="G92" t="str">
        <f>INDEX(Clientes!$B$2:$B$11,MATCH(Datos_Ventas!C92,Clientes!$A$2:$A$11,0))</f>
        <v>Pet Shop Mascotas</v>
      </c>
      <c r="H92" t="str">
        <f>INDEX(Clientes!$C$2:$C$11,MATCH(Datos_Ventas!C92,Clientes!$A$2:$A$11,0))</f>
        <v>Especializado</v>
      </c>
      <c r="I92" t="str">
        <f>INDEX(Clientes!$D$2:$D$11,MATCH(Datos_Ventas!C92,Clientes!$A$2:$A$11,0))</f>
        <v>Mendoza</v>
      </c>
      <c r="J92">
        <f>Datos_Ventas!E92</f>
        <v>6</v>
      </c>
      <c r="K92" s="29">
        <f>Datos_Ventas!F92</f>
        <v>17510</v>
      </c>
      <c r="L92" s="29">
        <f>Datos_Ventas!G92</f>
        <v>105060</v>
      </c>
      <c r="M92" s="29">
        <f>J92*INDEX(Productos!$D$2:$D$11,MATCH(Datos_Ventas!D92,Productos!$A$2:$A$11,0))</f>
        <v>75000</v>
      </c>
      <c r="N92" s="29">
        <f t="shared" si="6"/>
        <v>30060</v>
      </c>
      <c r="O92" s="30">
        <f>K92/INDEX(Productos!$E$2:$E$11,MATCH(Datos_Ventas!D92,Productos!$A$2:$A$11,0))-1</f>
        <v>-7.354497354497358E-2</v>
      </c>
      <c r="P92">
        <f t="shared" si="7"/>
        <v>1</v>
      </c>
    </row>
    <row r="93" spans="1:16" x14ac:dyDescent="0.2">
      <c r="A93">
        <f>Datos_Ventas!A93</f>
        <v>95</v>
      </c>
      <c r="B93" s="13">
        <f>Datos_Ventas!B93</f>
        <v>46087</v>
      </c>
      <c r="C93" t="str">
        <f t="shared" si="4"/>
        <v>03 Mar</v>
      </c>
      <c r="D93" t="str">
        <f t="shared" si="5"/>
        <v>T1</v>
      </c>
      <c r="E93" t="str">
        <f>INDEX(Productos!$B$2:$B$11,MATCH(Datos_Ventas!D93,Productos!$A$2:$A$11,0))</f>
        <v>Arena Sanitaria</v>
      </c>
      <c r="F93" t="str">
        <f>INDEX(Productos!$C$2:$C$11,MATCH(Datos_Ventas!D93,Productos!$A$2:$A$11,0))</f>
        <v>Higiene</v>
      </c>
      <c r="G93" t="str">
        <f>INDEX(Clientes!$B$2:$B$11,MATCH(Datos_Ventas!C93,Clientes!$A$2:$A$11,0))</f>
        <v>Hiper Centro</v>
      </c>
      <c r="H93" t="str">
        <f>INDEX(Clientes!$C$2:$C$11,MATCH(Datos_Ventas!C93,Clientes!$A$2:$A$11,0))</f>
        <v>Retail</v>
      </c>
      <c r="I93" t="str">
        <f>INDEX(Clientes!$D$2:$D$11,MATCH(Datos_Ventas!C93,Clientes!$A$2:$A$11,0))</f>
        <v>Luján de Cuyo</v>
      </c>
      <c r="J93">
        <f>Datos_Ventas!E93</f>
        <v>35</v>
      </c>
      <c r="K93" s="29">
        <f>Datos_Ventas!F93</f>
        <v>4540</v>
      </c>
      <c r="L93" s="29">
        <f>Datos_Ventas!G93</f>
        <v>158900</v>
      </c>
      <c r="M93" s="29">
        <f>J93*INDEX(Productos!$D$2:$D$11,MATCH(Datos_Ventas!D93,Productos!$A$2:$A$11,0))</f>
        <v>91000</v>
      </c>
      <c r="N93" s="29">
        <f t="shared" si="6"/>
        <v>67900</v>
      </c>
      <c r="O93" s="30">
        <f>K93/INDEX(Productos!$E$2:$E$11,MATCH(Datos_Ventas!D93,Productos!$A$2:$A$11,0))-1</f>
        <v>3.1818181818181746E-2</v>
      </c>
      <c r="P93">
        <f t="shared" si="7"/>
        <v>1</v>
      </c>
    </row>
    <row r="94" spans="1:16" x14ac:dyDescent="0.2">
      <c r="A94">
        <f>Datos_Ventas!A94</f>
        <v>96</v>
      </c>
      <c r="B94" s="13">
        <f>Datos_Ventas!B94</f>
        <v>46089</v>
      </c>
      <c r="C94" t="str">
        <f t="shared" si="4"/>
        <v>03 Mar</v>
      </c>
      <c r="D94" t="str">
        <f t="shared" si="5"/>
        <v>T1</v>
      </c>
      <c r="E94" t="str">
        <f>INDEX(Productos!$B$2:$B$11,MATCH(Datos_Ventas!D94,Productos!$A$2:$A$11,0))</f>
        <v>Collar Ajustable</v>
      </c>
      <c r="F94" t="str">
        <f>INDEX(Productos!$C$2:$C$11,MATCH(Datos_Ventas!D94,Productos!$A$2:$A$11,0))</f>
        <v>Accesorios</v>
      </c>
      <c r="G94" t="str">
        <f>INDEX(Clientes!$B$2:$B$11,MATCH(Datos_Ventas!C94,Clientes!$A$2:$A$11,0))</f>
        <v>Despensa Vero</v>
      </c>
      <c r="H94" t="str">
        <f>INDEX(Clientes!$C$2:$C$11,MATCH(Datos_Ventas!C94,Clientes!$A$2:$A$11,0))</f>
        <v>Minorista</v>
      </c>
      <c r="I94" t="str">
        <f>INDEX(Clientes!$D$2:$D$11,MATCH(Datos_Ventas!C94,Clientes!$A$2:$A$11,0))</f>
        <v>Mendoza</v>
      </c>
      <c r="J94">
        <f>Datos_Ventas!E94</f>
        <v>37</v>
      </c>
      <c r="K94" s="29">
        <f>Datos_Ventas!F94</f>
        <v>3680</v>
      </c>
      <c r="L94" s="29">
        <f>Datos_Ventas!G94</f>
        <v>136160</v>
      </c>
      <c r="M94" s="29">
        <f>J94*INDEX(Productos!$D$2:$D$11,MATCH(Datos_Ventas!D94,Productos!$A$2:$A$11,0))</f>
        <v>70300</v>
      </c>
      <c r="N94" s="29">
        <f t="shared" si="6"/>
        <v>65860</v>
      </c>
      <c r="O94" s="30">
        <f>K94/INDEX(Productos!$E$2:$E$11,MATCH(Datos_Ventas!D94,Productos!$A$2:$A$11,0))-1</f>
        <v>2.2222222222222143E-2</v>
      </c>
      <c r="P94">
        <f t="shared" si="7"/>
        <v>1</v>
      </c>
    </row>
    <row r="95" spans="1:16" x14ac:dyDescent="0.2">
      <c r="A95">
        <f>Datos_Ventas!A95</f>
        <v>97</v>
      </c>
      <c r="B95" s="13">
        <f>Datos_Ventas!B95</f>
        <v>46090</v>
      </c>
      <c r="C95" t="str">
        <f t="shared" si="4"/>
        <v>03 Mar</v>
      </c>
      <c r="D95" t="str">
        <f t="shared" si="5"/>
        <v>T1</v>
      </c>
      <c r="E95" t="str">
        <f>INDEX(Productos!$B$2:$B$11,MATCH(Datos_Ventas!D95,Productos!$A$2:$A$11,0))</f>
        <v>Alimento Premium 10kg</v>
      </c>
      <c r="F95" t="str">
        <f>INDEX(Productos!$C$2:$C$11,MATCH(Datos_Ventas!D95,Productos!$A$2:$A$11,0))</f>
        <v>Alimentos</v>
      </c>
      <c r="G95" t="str">
        <f>INDEX(Clientes!$B$2:$B$11,MATCH(Datos_Ventas!C95,Clientes!$A$2:$A$11,0))</f>
        <v>Despensa Vero</v>
      </c>
      <c r="H95" t="str">
        <f>INDEX(Clientes!$C$2:$C$11,MATCH(Datos_Ventas!C95,Clientes!$A$2:$A$11,0))</f>
        <v>Minorista</v>
      </c>
      <c r="I95" t="str">
        <f>INDEX(Clientes!$D$2:$D$11,MATCH(Datos_Ventas!C95,Clientes!$A$2:$A$11,0))</f>
        <v>Mendoza</v>
      </c>
      <c r="J95">
        <f>Datos_Ventas!E95</f>
        <v>11</v>
      </c>
      <c r="K95" s="29">
        <f>Datos_Ventas!F95</f>
        <v>18700</v>
      </c>
      <c r="L95" s="29">
        <f>Datos_Ventas!G95</f>
        <v>205700</v>
      </c>
      <c r="M95" s="29">
        <f>J95*INDEX(Productos!$D$2:$D$11,MATCH(Datos_Ventas!D95,Productos!$A$2:$A$11,0))</f>
        <v>137500</v>
      </c>
      <c r="N95" s="29">
        <f t="shared" si="6"/>
        <v>68200</v>
      </c>
      <c r="O95" s="30">
        <f>K95/INDEX(Productos!$E$2:$E$11,MATCH(Datos_Ventas!D95,Productos!$A$2:$A$11,0))-1</f>
        <v>-1.0582010582010581E-2</v>
      </c>
      <c r="P95">
        <f t="shared" si="7"/>
        <v>1</v>
      </c>
    </row>
    <row r="96" spans="1:16" x14ac:dyDescent="0.2">
      <c r="A96">
        <f>Datos_Ventas!A96</f>
        <v>98</v>
      </c>
      <c r="B96" s="13">
        <f>Datos_Ventas!B96</f>
        <v>46090</v>
      </c>
      <c r="C96" t="str">
        <f t="shared" si="4"/>
        <v>03 Mar</v>
      </c>
      <c r="D96" t="str">
        <f t="shared" si="5"/>
        <v>T1</v>
      </c>
      <c r="E96" t="str">
        <f>INDEX(Productos!$B$2:$B$11,MATCH(Datos_Ventas!D96,Productos!$A$2:$A$11,0))</f>
        <v>Alimento Balanceado 15kg</v>
      </c>
      <c r="F96" t="str">
        <f>INDEX(Productos!$C$2:$C$11,MATCH(Datos_Ventas!D96,Productos!$A$2:$A$11,0))</f>
        <v>Alimentos</v>
      </c>
      <c r="G96" t="str">
        <f>INDEX(Clientes!$B$2:$B$11,MATCH(Datos_Ventas!C96,Clientes!$A$2:$A$11,0))</f>
        <v>Distribuidora Andes</v>
      </c>
      <c r="H96" t="str">
        <f>INDEX(Clientes!$C$2:$C$11,MATCH(Datos_Ventas!C96,Clientes!$A$2:$A$11,0))</f>
        <v>Mayorista</v>
      </c>
      <c r="I96" t="str">
        <f>INDEX(Clientes!$D$2:$D$11,MATCH(Datos_Ventas!C96,Clientes!$A$2:$A$11,0))</f>
        <v>Mendoza</v>
      </c>
      <c r="J96">
        <f>Datos_Ventas!E96</f>
        <v>17</v>
      </c>
      <c r="K96" s="29">
        <f>Datos_Ventas!F96</f>
        <v>14620</v>
      </c>
      <c r="L96" s="29">
        <f>Datos_Ventas!G96</f>
        <v>248540</v>
      </c>
      <c r="M96" s="29">
        <f>J96*INDEX(Productos!$D$2:$D$11,MATCH(Datos_Ventas!D96,Productos!$A$2:$A$11,0))</f>
        <v>166600</v>
      </c>
      <c r="N96" s="29">
        <f t="shared" si="6"/>
        <v>81940</v>
      </c>
      <c r="O96" s="30">
        <f>K96/INDEX(Productos!$E$2:$E$11,MATCH(Datos_Ventas!D96,Productos!$A$2:$A$11,0))-1</f>
        <v>8.2758620689655782E-3</v>
      </c>
      <c r="P96">
        <f t="shared" si="7"/>
        <v>1</v>
      </c>
    </row>
    <row r="97" spans="1:16" x14ac:dyDescent="0.2">
      <c r="A97">
        <f>Datos_Ventas!A97</f>
        <v>99</v>
      </c>
      <c r="B97" s="13">
        <f>Datos_Ventas!B97</f>
        <v>46090</v>
      </c>
      <c r="C97" t="str">
        <f t="shared" si="4"/>
        <v>03 Mar</v>
      </c>
      <c r="D97" t="str">
        <f t="shared" si="5"/>
        <v>T1</v>
      </c>
      <c r="E97" t="str">
        <f>INDEX(Productos!$B$2:$B$11,MATCH(Datos_Ventas!D97,Productos!$A$2:$A$11,0))</f>
        <v>Alimento Balanceado 15kg</v>
      </c>
      <c r="F97" t="str">
        <f>INDEX(Productos!$C$2:$C$11,MATCH(Datos_Ventas!D97,Productos!$A$2:$A$11,0))</f>
        <v>Alimentos</v>
      </c>
      <c r="G97" t="str">
        <f>INDEX(Clientes!$B$2:$B$11,MATCH(Datos_Ventas!C97,Clientes!$A$2:$A$11,0))</f>
        <v>Veterinaria Sur</v>
      </c>
      <c r="H97" t="str">
        <f>INDEX(Clientes!$C$2:$C$11,MATCH(Datos_Ventas!C97,Clientes!$A$2:$A$11,0))</f>
        <v>Especializado</v>
      </c>
      <c r="I97" t="str">
        <f>INDEX(Clientes!$D$2:$D$11,MATCH(Datos_Ventas!C97,Clientes!$A$2:$A$11,0))</f>
        <v>Godoy Cruz</v>
      </c>
      <c r="J97">
        <f>Datos_Ventas!E97</f>
        <v>29</v>
      </c>
      <c r="K97" s="29">
        <f>Datos_Ventas!F97</f>
        <v>13670</v>
      </c>
      <c r="L97" s="29">
        <f>Datos_Ventas!G97</f>
        <v>396430</v>
      </c>
      <c r="M97" s="29">
        <f>J97*INDEX(Productos!$D$2:$D$11,MATCH(Datos_Ventas!D97,Productos!$A$2:$A$11,0))</f>
        <v>284200</v>
      </c>
      <c r="N97" s="29">
        <f t="shared" si="6"/>
        <v>112230</v>
      </c>
      <c r="O97" s="30">
        <f>K97/INDEX(Productos!$E$2:$E$11,MATCH(Datos_Ventas!D97,Productos!$A$2:$A$11,0))-1</f>
        <v>-5.7241379310344787E-2</v>
      </c>
      <c r="P97">
        <f t="shared" si="7"/>
        <v>1</v>
      </c>
    </row>
    <row r="98" spans="1:16" x14ac:dyDescent="0.2">
      <c r="A98">
        <f>Datos_Ventas!A98</f>
        <v>100</v>
      </c>
      <c r="B98" s="13">
        <f>Datos_Ventas!B98</f>
        <v>46090</v>
      </c>
      <c r="C98" t="str">
        <f t="shared" si="4"/>
        <v>03 Mar</v>
      </c>
      <c r="D98" t="str">
        <f t="shared" si="5"/>
        <v>T1</v>
      </c>
      <c r="E98" t="str">
        <f>INDEX(Productos!$B$2:$B$11,MATCH(Datos_Ventas!D98,Productos!$A$2:$A$11,0))</f>
        <v>Shampoo Mascotas</v>
      </c>
      <c r="F98" t="str">
        <f>INDEX(Productos!$C$2:$C$11,MATCH(Datos_Ventas!D98,Productos!$A$2:$A$11,0))</f>
        <v>Higiene</v>
      </c>
      <c r="G98" t="str">
        <f>INDEX(Clientes!$B$2:$B$11,MATCH(Datos_Ventas!C98,Clientes!$A$2:$A$11,0))</f>
        <v>Mayorista del Sol</v>
      </c>
      <c r="H98" t="str">
        <f>INDEX(Clientes!$C$2:$C$11,MATCH(Datos_Ventas!C98,Clientes!$A$2:$A$11,0))</f>
        <v>Mayorista</v>
      </c>
      <c r="I98" t="str">
        <f>INDEX(Clientes!$D$2:$D$11,MATCH(Datos_Ventas!C98,Clientes!$A$2:$A$11,0))</f>
        <v>San Martín</v>
      </c>
      <c r="J98">
        <f>Datos_Ventas!E98</f>
        <v>14</v>
      </c>
      <c r="K98" s="29">
        <f>Datos_Ventas!F98</f>
        <v>3680</v>
      </c>
      <c r="L98" s="29">
        <f>Datos_Ventas!G98</f>
        <v>51520</v>
      </c>
      <c r="M98" s="29">
        <f>J98*INDEX(Productos!$D$2:$D$11,MATCH(Datos_Ventas!D98,Productos!$A$2:$A$11,0))</f>
        <v>30800</v>
      </c>
      <c r="N98" s="29">
        <f t="shared" si="6"/>
        <v>20720</v>
      </c>
      <c r="O98" s="30">
        <f>K98/INDEX(Productos!$E$2:$E$11,MATCH(Datos_Ventas!D98,Productos!$A$2:$A$11,0))-1</f>
        <v>-5.6410256410256432E-2</v>
      </c>
      <c r="P98">
        <f t="shared" si="7"/>
        <v>1</v>
      </c>
    </row>
    <row r="99" spans="1:16" x14ac:dyDescent="0.2">
      <c r="A99">
        <f>Datos_Ventas!A99</f>
        <v>101</v>
      </c>
      <c r="B99" s="13">
        <f>Datos_Ventas!B99</f>
        <v>46091</v>
      </c>
      <c r="C99" t="str">
        <f t="shared" si="4"/>
        <v>03 Mar</v>
      </c>
      <c r="D99" t="str">
        <f t="shared" si="5"/>
        <v>T1</v>
      </c>
      <c r="E99" t="str">
        <f>INDEX(Productos!$B$2:$B$11,MATCH(Datos_Ventas!D99,Productos!$A$2:$A$11,0))</f>
        <v>Snack Dental</v>
      </c>
      <c r="F99" t="str">
        <f>INDEX(Productos!$C$2:$C$11,MATCH(Datos_Ventas!D99,Productos!$A$2:$A$11,0))</f>
        <v>Snacks</v>
      </c>
      <c r="G99" t="str">
        <f>INDEX(Clientes!$B$2:$B$11,MATCH(Datos_Ventas!C99,Clientes!$A$2:$A$11,0))</f>
        <v>Despensa Vero</v>
      </c>
      <c r="H99" t="str">
        <f>INDEX(Clientes!$C$2:$C$11,MATCH(Datos_Ventas!C99,Clientes!$A$2:$A$11,0))</f>
        <v>Minorista</v>
      </c>
      <c r="I99" t="str">
        <f>INDEX(Clientes!$D$2:$D$11,MATCH(Datos_Ventas!C99,Clientes!$A$2:$A$11,0))</f>
        <v>Mendoza</v>
      </c>
      <c r="J99">
        <f>Datos_Ventas!E99</f>
        <v>13</v>
      </c>
      <c r="K99" s="29">
        <f>Datos_Ventas!F99</f>
        <v>3110</v>
      </c>
      <c r="L99" s="29">
        <f>Datos_Ventas!G99</f>
        <v>40430</v>
      </c>
      <c r="M99" s="29">
        <f>J99*INDEX(Productos!$D$2:$D$11,MATCH(Datos_Ventas!D99,Productos!$A$2:$A$11,0))</f>
        <v>23400</v>
      </c>
      <c r="N99" s="29">
        <f t="shared" si="6"/>
        <v>17030</v>
      </c>
      <c r="O99" s="30">
        <f>K99/INDEX(Productos!$E$2:$E$11,MATCH(Datos_Ventas!D99,Productos!$A$2:$A$11,0))-1</f>
        <v>-2.8124999999999956E-2</v>
      </c>
      <c r="P99">
        <f t="shared" si="7"/>
        <v>1</v>
      </c>
    </row>
    <row r="100" spans="1:16" x14ac:dyDescent="0.2">
      <c r="A100">
        <f>Datos_Ventas!A100</f>
        <v>102</v>
      </c>
      <c r="B100" s="13">
        <f>Datos_Ventas!B100</f>
        <v>46092</v>
      </c>
      <c r="C100" t="str">
        <f t="shared" si="4"/>
        <v>03 Mar</v>
      </c>
      <c r="D100" t="str">
        <f t="shared" si="5"/>
        <v>T1</v>
      </c>
      <c r="E100" t="str">
        <f>INDEX(Productos!$B$2:$B$11,MATCH(Datos_Ventas!D100,Productos!$A$2:$A$11,0))</f>
        <v>Alimento Balanceado 15kg</v>
      </c>
      <c r="F100" t="str">
        <f>INDEX(Productos!$C$2:$C$11,MATCH(Datos_Ventas!D100,Productos!$A$2:$A$11,0))</f>
        <v>Alimentos</v>
      </c>
      <c r="G100" t="str">
        <f>INDEX(Clientes!$B$2:$B$11,MATCH(Datos_Ventas!C100,Clientes!$A$2:$A$11,0))</f>
        <v>Despensa Vero</v>
      </c>
      <c r="H100" t="str">
        <f>INDEX(Clientes!$C$2:$C$11,MATCH(Datos_Ventas!C100,Clientes!$A$2:$A$11,0))</f>
        <v>Minorista</v>
      </c>
      <c r="I100" t="str">
        <f>INDEX(Clientes!$D$2:$D$11,MATCH(Datos_Ventas!C100,Clientes!$A$2:$A$11,0))</f>
        <v>Mendoza</v>
      </c>
      <c r="J100">
        <f>Datos_Ventas!E100</f>
        <v>31</v>
      </c>
      <c r="K100" s="29">
        <f>Datos_Ventas!F100</f>
        <v>14570</v>
      </c>
      <c r="L100" s="29">
        <f>Datos_Ventas!G100</f>
        <v>451670</v>
      </c>
      <c r="M100" s="29">
        <f>J100*INDEX(Productos!$D$2:$D$11,MATCH(Datos_Ventas!D100,Productos!$A$2:$A$11,0))</f>
        <v>303800</v>
      </c>
      <c r="N100" s="29">
        <f t="shared" si="6"/>
        <v>147870</v>
      </c>
      <c r="O100" s="30">
        <f>K100/INDEX(Productos!$E$2:$E$11,MATCH(Datos_Ventas!D100,Productos!$A$2:$A$11,0))-1</f>
        <v>4.8275862068964948E-3</v>
      </c>
      <c r="P100">
        <f t="shared" si="7"/>
        <v>1</v>
      </c>
    </row>
    <row r="101" spans="1:16" x14ac:dyDescent="0.2">
      <c r="A101">
        <f>Datos_Ventas!A101</f>
        <v>103</v>
      </c>
      <c r="B101" s="13">
        <f>Datos_Ventas!B101</f>
        <v>46093</v>
      </c>
      <c r="C101" t="str">
        <f t="shared" si="4"/>
        <v>03 Mar</v>
      </c>
      <c r="D101" t="str">
        <f t="shared" si="5"/>
        <v>T1</v>
      </c>
      <c r="E101" t="str">
        <f>INDEX(Productos!$B$2:$B$11,MATCH(Datos_Ventas!D101,Productos!$A$2:$A$11,0))</f>
        <v>Snack Dental</v>
      </c>
      <c r="F101" t="str">
        <f>INDEX(Productos!$C$2:$C$11,MATCH(Datos_Ventas!D101,Productos!$A$2:$A$11,0))</f>
        <v>Snacks</v>
      </c>
      <c r="G101" t="str">
        <f>INDEX(Clientes!$B$2:$B$11,MATCH(Datos_Ventas!C101,Clientes!$A$2:$A$11,0))</f>
        <v>Almacén Don Pedro</v>
      </c>
      <c r="H101" t="str">
        <f>INDEX(Clientes!$C$2:$C$11,MATCH(Datos_Ventas!C101,Clientes!$A$2:$A$11,0))</f>
        <v>Minorista</v>
      </c>
      <c r="I101" t="str">
        <f>INDEX(Clientes!$D$2:$D$11,MATCH(Datos_Ventas!C101,Clientes!$A$2:$A$11,0))</f>
        <v>Maipú</v>
      </c>
      <c r="J101">
        <f>Datos_Ventas!E101</f>
        <v>8</v>
      </c>
      <c r="K101" s="29">
        <f>Datos_Ventas!F101</f>
        <v>3250</v>
      </c>
      <c r="L101" s="29">
        <f>Datos_Ventas!G101</f>
        <v>26000</v>
      </c>
      <c r="M101" s="29">
        <f>J101*INDEX(Productos!$D$2:$D$11,MATCH(Datos_Ventas!D101,Productos!$A$2:$A$11,0))</f>
        <v>14400</v>
      </c>
      <c r="N101" s="29">
        <f t="shared" si="6"/>
        <v>11600</v>
      </c>
      <c r="O101" s="30">
        <f>K101/INDEX(Productos!$E$2:$E$11,MATCH(Datos_Ventas!D101,Productos!$A$2:$A$11,0))-1</f>
        <v>1.5625E-2</v>
      </c>
      <c r="P101">
        <f t="shared" si="7"/>
        <v>1</v>
      </c>
    </row>
    <row r="102" spans="1:16" x14ac:dyDescent="0.2">
      <c r="A102">
        <f>Datos_Ventas!A102</f>
        <v>104</v>
      </c>
      <c r="B102" s="13">
        <f>Datos_Ventas!B102</f>
        <v>46094</v>
      </c>
      <c r="C102" t="str">
        <f t="shared" si="4"/>
        <v>03 Mar</v>
      </c>
      <c r="D102" t="str">
        <f t="shared" si="5"/>
        <v>T1</v>
      </c>
      <c r="E102" t="str">
        <f>INDEX(Productos!$B$2:$B$11,MATCH(Datos_Ventas!D102,Productos!$A$2:$A$11,0))</f>
        <v>Snack Dental</v>
      </c>
      <c r="F102" t="str">
        <f>INDEX(Productos!$C$2:$C$11,MATCH(Datos_Ventas!D102,Productos!$A$2:$A$11,0))</f>
        <v>Snacks</v>
      </c>
      <c r="G102" t="str">
        <f>INDEX(Clientes!$B$2:$B$11,MATCH(Datos_Ventas!C102,Clientes!$A$2:$A$11,0))</f>
        <v>Autoservicio Norte</v>
      </c>
      <c r="H102" t="str">
        <f>INDEX(Clientes!$C$2:$C$11,MATCH(Datos_Ventas!C102,Clientes!$A$2:$A$11,0))</f>
        <v>Retail</v>
      </c>
      <c r="I102" t="str">
        <f>INDEX(Clientes!$D$2:$D$11,MATCH(Datos_Ventas!C102,Clientes!$A$2:$A$11,0))</f>
        <v>Las Heras</v>
      </c>
      <c r="J102">
        <f>Datos_Ventas!E102</f>
        <v>33</v>
      </c>
      <c r="K102" s="29">
        <f>Datos_Ventas!F102</f>
        <v>3170</v>
      </c>
      <c r="L102" s="29">
        <f>Datos_Ventas!G102</f>
        <v>104610</v>
      </c>
      <c r="M102" s="29">
        <f>J102*INDEX(Productos!$D$2:$D$11,MATCH(Datos_Ventas!D102,Productos!$A$2:$A$11,0))</f>
        <v>59400</v>
      </c>
      <c r="N102" s="29">
        <f t="shared" si="6"/>
        <v>45210</v>
      </c>
      <c r="O102" s="30">
        <f>K102/INDEX(Productos!$E$2:$E$11,MATCH(Datos_Ventas!D102,Productos!$A$2:$A$11,0))-1</f>
        <v>-9.3750000000000222E-3</v>
      </c>
      <c r="P102">
        <f t="shared" si="7"/>
        <v>1</v>
      </c>
    </row>
    <row r="103" spans="1:16" x14ac:dyDescent="0.2">
      <c r="A103">
        <f>Datos_Ventas!A103</f>
        <v>105</v>
      </c>
      <c r="B103" s="13">
        <f>Datos_Ventas!B103</f>
        <v>46094</v>
      </c>
      <c r="C103" t="str">
        <f t="shared" si="4"/>
        <v>03 Mar</v>
      </c>
      <c r="D103" t="str">
        <f t="shared" si="5"/>
        <v>T1</v>
      </c>
      <c r="E103" t="str">
        <f>INDEX(Productos!$B$2:$B$11,MATCH(Datos_Ventas!D103,Productos!$A$2:$A$11,0))</f>
        <v>Alimento Balanceado 15kg</v>
      </c>
      <c r="F103" t="str">
        <f>INDEX(Productos!$C$2:$C$11,MATCH(Datos_Ventas!D103,Productos!$A$2:$A$11,0))</f>
        <v>Alimentos</v>
      </c>
      <c r="G103" t="str">
        <f>INDEX(Clientes!$B$2:$B$11,MATCH(Datos_Ventas!C103,Clientes!$A$2:$A$11,0))</f>
        <v>Kiosco La Esquina</v>
      </c>
      <c r="H103" t="str">
        <f>INDEX(Clientes!$C$2:$C$11,MATCH(Datos_Ventas!C103,Clientes!$A$2:$A$11,0))</f>
        <v>Minorista</v>
      </c>
      <c r="I103" t="str">
        <f>INDEX(Clientes!$D$2:$D$11,MATCH(Datos_Ventas!C103,Clientes!$A$2:$A$11,0))</f>
        <v>Godoy Cruz</v>
      </c>
      <c r="J103">
        <f>Datos_Ventas!E103</f>
        <v>5</v>
      </c>
      <c r="K103" s="29">
        <f>Datos_Ventas!F103</f>
        <v>15290</v>
      </c>
      <c r="L103" s="29">
        <f>Datos_Ventas!G103</f>
        <v>76450</v>
      </c>
      <c r="M103" s="29">
        <f>J103*INDEX(Productos!$D$2:$D$11,MATCH(Datos_Ventas!D103,Productos!$A$2:$A$11,0))</f>
        <v>49000</v>
      </c>
      <c r="N103" s="29">
        <f t="shared" si="6"/>
        <v>27450</v>
      </c>
      <c r="O103" s="30">
        <f>K103/INDEX(Productos!$E$2:$E$11,MATCH(Datos_Ventas!D103,Productos!$A$2:$A$11,0))-1</f>
        <v>5.4482758620689742E-2</v>
      </c>
      <c r="P103">
        <f t="shared" si="7"/>
        <v>1</v>
      </c>
    </row>
    <row r="104" spans="1:16" x14ac:dyDescent="0.2">
      <c r="A104">
        <f>Datos_Ventas!A104</f>
        <v>106</v>
      </c>
      <c r="B104" s="13">
        <f>Datos_Ventas!B104</f>
        <v>46094</v>
      </c>
      <c r="C104" t="str">
        <f t="shared" si="4"/>
        <v>03 Mar</v>
      </c>
      <c r="D104" t="str">
        <f t="shared" si="5"/>
        <v>T1</v>
      </c>
      <c r="E104" t="str">
        <f>INDEX(Productos!$B$2:$B$11,MATCH(Datos_Ventas!D104,Productos!$A$2:$A$11,0))</f>
        <v>Shampoo Mascotas</v>
      </c>
      <c r="F104" t="str">
        <f>INDEX(Productos!$C$2:$C$11,MATCH(Datos_Ventas!D104,Productos!$A$2:$A$11,0))</f>
        <v>Higiene</v>
      </c>
      <c r="G104" t="str">
        <f>INDEX(Clientes!$B$2:$B$11,MATCH(Datos_Ventas!C104,Clientes!$A$2:$A$11,0))</f>
        <v>Supermercado Cuyo</v>
      </c>
      <c r="H104" t="str">
        <f>INDEX(Clientes!$C$2:$C$11,MATCH(Datos_Ventas!C104,Clientes!$A$2:$A$11,0))</f>
        <v>Retail</v>
      </c>
      <c r="I104" t="str">
        <f>INDEX(Clientes!$D$2:$D$11,MATCH(Datos_Ventas!C104,Clientes!$A$2:$A$11,0))</f>
        <v>Guaymallén</v>
      </c>
      <c r="J104">
        <f>Datos_Ventas!E104</f>
        <v>36</v>
      </c>
      <c r="K104" s="29">
        <f>Datos_Ventas!F104</f>
        <v>4120</v>
      </c>
      <c r="L104" s="29">
        <f>Datos_Ventas!G104</f>
        <v>148320</v>
      </c>
      <c r="M104" s="29">
        <f>J104*INDEX(Productos!$D$2:$D$11,MATCH(Datos_Ventas!D104,Productos!$A$2:$A$11,0))</f>
        <v>79200</v>
      </c>
      <c r="N104" s="29">
        <f t="shared" si="6"/>
        <v>69120</v>
      </c>
      <c r="O104" s="30">
        <f>K104/INDEX(Productos!$E$2:$E$11,MATCH(Datos_Ventas!D104,Productos!$A$2:$A$11,0))-1</f>
        <v>5.6410256410256432E-2</v>
      </c>
      <c r="P104">
        <f t="shared" si="7"/>
        <v>1</v>
      </c>
    </row>
    <row r="105" spans="1:16" x14ac:dyDescent="0.2">
      <c r="A105">
        <f>Datos_Ventas!A105</f>
        <v>107</v>
      </c>
      <c r="B105" s="13">
        <f>Datos_Ventas!B105</f>
        <v>46095</v>
      </c>
      <c r="C105" t="str">
        <f t="shared" si="4"/>
        <v>03 Mar</v>
      </c>
      <c r="D105" t="str">
        <f t="shared" si="5"/>
        <v>T1</v>
      </c>
      <c r="E105" t="str">
        <f>INDEX(Productos!$B$2:$B$11,MATCH(Datos_Ventas!D105,Productos!$A$2:$A$11,0))</f>
        <v>Aceite Omega</v>
      </c>
      <c r="F105" t="str">
        <f>INDEX(Productos!$C$2:$C$11,MATCH(Datos_Ventas!D105,Productos!$A$2:$A$11,0))</f>
        <v>Suplementos</v>
      </c>
      <c r="G105" t="str">
        <f>INDEX(Clientes!$B$2:$B$11,MATCH(Datos_Ventas!C105,Clientes!$A$2:$A$11,0))</f>
        <v>Mayorista del Sol</v>
      </c>
      <c r="H105" t="str">
        <f>INDEX(Clientes!$C$2:$C$11,MATCH(Datos_Ventas!C105,Clientes!$A$2:$A$11,0))</f>
        <v>Mayorista</v>
      </c>
      <c r="I105" t="str">
        <f>INDEX(Clientes!$D$2:$D$11,MATCH(Datos_Ventas!C105,Clientes!$A$2:$A$11,0))</f>
        <v>San Martín</v>
      </c>
      <c r="J105">
        <f>Datos_Ventas!E105</f>
        <v>25</v>
      </c>
      <c r="K105" s="29">
        <f>Datos_Ventas!F105</f>
        <v>5530</v>
      </c>
      <c r="L105" s="29">
        <f>Datos_Ventas!G105</f>
        <v>138250</v>
      </c>
      <c r="M105" s="29">
        <f>J105*INDEX(Productos!$D$2:$D$11,MATCH(Datos_Ventas!D105,Productos!$A$2:$A$11,0))</f>
        <v>77500</v>
      </c>
      <c r="N105" s="29">
        <f t="shared" si="6"/>
        <v>60750</v>
      </c>
      <c r="O105" s="30">
        <f>K105/INDEX(Productos!$E$2:$E$11,MATCH(Datos_Ventas!D105,Productos!$A$2:$A$11,0))-1</f>
        <v>-1.2499999999999956E-2</v>
      </c>
      <c r="P105">
        <f t="shared" si="7"/>
        <v>1</v>
      </c>
    </row>
    <row r="106" spans="1:16" x14ac:dyDescent="0.2">
      <c r="A106">
        <f>Datos_Ventas!A106</f>
        <v>109</v>
      </c>
      <c r="B106" s="13">
        <f>Datos_Ventas!B106</f>
        <v>46096</v>
      </c>
      <c r="C106" t="str">
        <f t="shared" si="4"/>
        <v>03 Mar</v>
      </c>
      <c r="D106" t="str">
        <f t="shared" si="5"/>
        <v>T1</v>
      </c>
      <c r="E106" t="str">
        <f>INDEX(Productos!$B$2:$B$11,MATCH(Datos_Ventas!D106,Productos!$A$2:$A$11,0))</f>
        <v>Collar Ajustable</v>
      </c>
      <c r="F106" t="str">
        <f>INDEX(Productos!$C$2:$C$11,MATCH(Datos_Ventas!D106,Productos!$A$2:$A$11,0))</f>
        <v>Accesorios</v>
      </c>
      <c r="G106" t="str">
        <f>INDEX(Clientes!$B$2:$B$11,MATCH(Datos_Ventas!C106,Clientes!$A$2:$A$11,0))</f>
        <v>Autoservicio Norte</v>
      </c>
      <c r="H106" t="str">
        <f>INDEX(Clientes!$C$2:$C$11,MATCH(Datos_Ventas!C106,Clientes!$A$2:$A$11,0))</f>
        <v>Retail</v>
      </c>
      <c r="I106" t="str">
        <f>INDEX(Clientes!$D$2:$D$11,MATCH(Datos_Ventas!C106,Clientes!$A$2:$A$11,0))</f>
        <v>Las Heras</v>
      </c>
      <c r="J106">
        <f>Datos_Ventas!E106</f>
        <v>28</v>
      </c>
      <c r="K106" s="29">
        <f>Datos_Ventas!F106</f>
        <v>3380</v>
      </c>
      <c r="L106" s="29">
        <f>Datos_Ventas!G106</f>
        <v>94640</v>
      </c>
      <c r="M106" s="29">
        <f>J106*INDEX(Productos!$D$2:$D$11,MATCH(Datos_Ventas!D106,Productos!$A$2:$A$11,0))</f>
        <v>53200</v>
      </c>
      <c r="N106" s="29">
        <f t="shared" si="6"/>
        <v>41440</v>
      </c>
      <c r="O106" s="30">
        <f>K106/INDEX(Productos!$E$2:$E$11,MATCH(Datos_Ventas!D106,Productos!$A$2:$A$11,0))-1</f>
        <v>-6.1111111111111116E-2</v>
      </c>
      <c r="P106">
        <f t="shared" si="7"/>
        <v>1</v>
      </c>
    </row>
    <row r="107" spans="1:16" x14ac:dyDescent="0.2">
      <c r="A107">
        <f>Datos_Ventas!A107</f>
        <v>110</v>
      </c>
      <c r="B107" s="13">
        <f>Datos_Ventas!B107</f>
        <v>46096</v>
      </c>
      <c r="C107" t="str">
        <f t="shared" si="4"/>
        <v>03 Mar</v>
      </c>
      <c r="D107" t="str">
        <f t="shared" si="5"/>
        <v>T1</v>
      </c>
      <c r="E107" t="str">
        <f>INDEX(Productos!$B$2:$B$11,MATCH(Datos_Ventas!D107,Productos!$A$2:$A$11,0))</f>
        <v>Correa Reforzada</v>
      </c>
      <c r="F107" t="str">
        <f>INDEX(Productos!$C$2:$C$11,MATCH(Datos_Ventas!D107,Productos!$A$2:$A$11,0))</f>
        <v>Accesorios</v>
      </c>
      <c r="G107" t="str">
        <f>INDEX(Clientes!$B$2:$B$11,MATCH(Datos_Ventas!C107,Clientes!$A$2:$A$11,0))</f>
        <v>Almacén Don Pedro</v>
      </c>
      <c r="H107" t="str">
        <f>INDEX(Clientes!$C$2:$C$11,MATCH(Datos_Ventas!C107,Clientes!$A$2:$A$11,0))</f>
        <v>Minorista</v>
      </c>
      <c r="I107" t="str">
        <f>INDEX(Clientes!$D$2:$D$11,MATCH(Datos_Ventas!C107,Clientes!$A$2:$A$11,0))</f>
        <v>Maipú</v>
      </c>
      <c r="J107">
        <f>Datos_Ventas!E107</f>
        <v>25</v>
      </c>
      <c r="K107" s="29">
        <f>Datos_Ventas!F107</f>
        <v>4810</v>
      </c>
      <c r="L107" s="29">
        <f>Datos_Ventas!G107</f>
        <v>120250</v>
      </c>
      <c r="M107" s="29">
        <f>J107*INDEX(Productos!$D$2:$D$11,MATCH(Datos_Ventas!D107,Productos!$A$2:$A$11,0))</f>
        <v>70000</v>
      </c>
      <c r="N107" s="29">
        <f t="shared" si="6"/>
        <v>50250</v>
      </c>
      <c r="O107" s="30">
        <f>K107/INDEX(Productos!$E$2:$E$11,MATCH(Datos_Ventas!D107,Productos!$A$2:$A$11,0))-1</f>
        <v>-7.4999999999999956E-2</v>
      </c>
      <c r="P107">
        <f t="shared" si="7"/>
        <v>1</v>
      </c>
    </row>
    <row r="108" spans="1:16" x14ac:dyDescent="0.2">
      <c r="A108">
        <f>Datos_Ventas!A108</f>
        <v>111</v>
      </c>
      <c r="B108" s="13">
        <f>Datos_Ventas!B108</f>
        <v>46096</v>
      </c>
      <c r="C108" t="str">
        <f t="shared" si="4"/>
        <v>03 Mar</v>
      </c>
      <c r="D108" t="str">
        <f t="shared" si="5"/>
        <v>T1</v>
      </c>
      <c r="E108" t="str">
        <f>INDEX(Productos!$B$2:$B$11,MATCH(Datos_Ventas!D108,Productos!$A$2:$A$11,0))</f>
        <v>Shampoo Mascotas</v>
      </c>
      <c r="F108" t="str">
        <f>INDEX(Productos!$C$2:$C$11,MATCH(Datos_Ventas!D108,Productos!$A$2:$A$11,0))</f>
        <v>Higiene</v>
      </c>
      <c r="G108" t="str">
        <f>INDEX(Clientes!$B$2:$B$11,MATCH(Datos_Ventas!C108,Clientes!$A$2:$A$11,0))</f>
        <v>Mayorista del Sol</v>
      </c>
      <c r="H108" t="str">
        <f>INDEX(Clientes!$C$2:$C$11,MATCH(Datos_Ventas!C108,Clientes!$A$2:$A$11,0))</f>
        <v>Mayorista</v>
      </c>
      <c r="I108" t="str">
        <f>INDEX(Clientes!$D$2:$D$11,MATCH(Datos_Ventas!C108,Clientes!$A$2:$A$11,0))</f>
        <v>San Martín</v>
      </c>
      <c r="J108">
        <f>Datos_Ventas!E108</f>
        <v>17</v>
      </c>
      <c r="K108" s="29">
        <f>Datos_Ventas!F108</f>
        <v>4090</v>
      </c>
      <c r="L108" s="29">
        <f>Datos_Ventas!G108</f>
        <v>69530</v>
      </c>
      <c r="M108" s="29">
        <f>J108*INDEX(Productos!$D$2:$D$11,MATCH(Datos_Ventas!D108,Productos!$A$2:$A$11,0))</f>
        <v>37400</v>
      </c>
      <c r="N108" s="29">
        <f t="shared" si="6"/>
        <v>32130</v>
      </c>
      <c r="O108" s="30">
        <f>K108/INDEX(Productos!$E$2:$E$11,MATCH(Datos_Ventas!D108,Productos!$A$2:$A$11,0))-1</f>
        <v>4.8717948717948767E-2</v>
      </c>
      <c r="P108">
        <f t="shared" si="7"/>
        <v>1</v>
      </c>
    </row>
    <row r="109" spans="1:16" x14ac:dyDescent="0.2">
      <c r="A109">
        <f>Datos_Ventas!A109</f>
        <v>112</v>
      </c>
      <c r="B109" s="13">
        <f>Datos_Ventas!B109</f>
        <v>46096</v>
      </c>
      <c r="C109" t="str">
        <f t="shared" si="4"/>
        <v>03 Mar</v>
      </c>
      <c r="D109" t="str">
        <f t="shared" si="5"/>
        <v>T1</v>
      </c>
      <c r="E109" t="str">
        <f>INDEX(Productos!$B$2:$B$11,MATCH(Datos_Ventas!D109,Productos!$A$2:$A$11,0))</f>
        <v>Snack Dental</v>
      </c>
      <c r="F109" t="str">
        <f>INDEX(Productos!$C$2:$C$11,MATCH(Datos_Ventas!D109,Productos!$A$2:$A$11,0))</f>
        <v>Snacks</v>
      </c>
      <c r="G109" t="str">
        <f>INDEX(Clientes!$B$2:$B$11,MATCH(Datos_Ventas!C109,Clientes!$A$2:$A$11,0))</f>
        <v>Hiper Centro</v>
      </c>
      <c r="H109" t="str">
        <f>INDEX(Clientes!$C$2:$C$11,MATCH(Datos_Ventas!C109,Clientes!$A$2:$A$11,0))</f>
        <v>Retail</v>
      </c>
      <c r="I109" t="str">
        <f>INDEX(Clientes!$D$2:$D$11,MATCH(Datos_Ventas!C109,Clientes!$A$2:$A$11,0))</f>
        <v>Luján de Cuyo</v>
      </c>
      <c r="J109">
        <f>Datos_Ventas!E109</f>
        <v>1</v>
      </c>
      <c r="K109" s="29">
        <f>Datos_Ventas!F109</f>
        <v>3220</v>
      </c>
      <c r="L109" s="29">
        <f>Datos_Ventas!G109</f>
        <v>3220</v>
      </c>
      <c r="M109" s="29">
        <f>J109*INDEX(Productos!$D$2:$D$11,MATCH(Datos_Ventas!D109,Productos!$A$2:$A$11,0))</f>
        <v>1800</v>
      </c>
      <c r="N109" s="29">
        <f t="shared" si="6"/>
        <v>1420</v>
      </c>
      <c r="O109" s="30">
        <f>K109/INDEX(Productos!$E$2:$E$11,MATCH(Datos_Ventas!D109,Productos!$A$2:$A$11,0))-1</f>
        <v>6.2500000000000888E-3</v>
      </c>
      <c r="P109">
        <f t="shared" si="7"/>
        <v>1</v>
      </c>
    </row>
    <row r="110" spans="1:16" x14ac:dyDescent="0.2">
      <c r="A110">
        <f>Datos_Ventas!A110</f>
        <v>113</v>
      </c>
      <c r="B110" s="13">
        <f>Datos_Ventas!B110</f>
        <v>46098</v>
      </c>
      <c r="C110" t="str">
        <f t="shared" si="4"/>
        <v>03 Mar</v>
      </c>
      <c r="D110" t="str">
        <f t="shared" si="5"/>
        <v>T1</v>
      </c>
      <c r="E110" t="str">
        <f>INDEX(Productos!$B$2:$B$11,MATCH(Datos_Ventas!D110,Productos!$A$2:$A$11,0))</f>
        <v>Arena Sanitaria</v>
      </c>
      <c r="F110" t="str">
        <f>INDEX(Productos!$C$2:$C$11,MATCH(Datos_Ventas!D110,Productos!$A$2:$A$11,0))</f>
        <v>Higiene</v>
      </c>
      <c r="G110" t="str">
        <f>INDEX(Clientes!$B$2:$B$11,MATCH(Datos_Ventas!C110,Clientes!$A$2:$A$11,0))</f>
        <v>Mayorista del Sol</v>
      </c>
      <c r="H110" t="str">
        <f>INDEX(Clientes!$C$2:$C$11,MATCH(Datos_Ventas!C110,Clientes!$A$2:$A$11,0))</f>
        <v>Mayorista</v>
      </c>
      <c r="I110" t="str">
        <f>INDEX(Clientes!$D$2:$D$11,MATCH(Datos_Ventas!C110,Clientes!$A$2:$A$11,0))</f>
        <v>San Martín</v>
      </c>
      <c r="J110">
        <f>Datos_Ventas!E110</f>
        <v>35</v>
      </c>
      <c r="K110" s="29">
        <f>Datos_Ventas!F110</f>
        <v>4110</v>
      </c>
      <c r="L110" s="29">
        <f>Datos_Ventas!G110</f>
        <v>143850</v>
      </c>
      <c r="M110" s="29">
        <f>J110*INDEX(Productos!$D$2:$D$11,MATCH(Datos_Ventas!D110,Productos!$A$2:$A$11,0))</f>
        <v>91000</v>
      </c>
      <c r="N110" s="29">
        <f t="shared" si="6"/>
        <v>52850</v>
      </c>
      <c r="O110" s="30">
        <f>K110/INDEX(Productos!$E$2:$E$11,MATCH(Datos_Ventas!D110,Productos!$A$2:$A$11,0))-1</f>
        <v>-6.5909090909090917E-2</v>
      </c>
      <c r="P110">
        <f t="shared" si="7"/>
        <v>1</v>
      </c>
    </row>
    <row r="111" spans="1:16" x14ac:dyDescent="0.2">
      <c r="A111">
        <f>Datos_Ventas!A111</f>
        <v>114</v>
      </c>
      <c r="B111" s="13">
        <f>Datos_Ventas!B111</f>
        <v>46098</v>
      </c>
      <c r="C111" t="str">
        <f t="shared" si="4"/>
        <v>03 Mar</v>
      </c>
      <c r="D111" t="str">
        <f t="shared" si="5"/>
        <v>T1</v>
      </c>
      <c r="E111" t="str">
        <f>INDEX(Productos!$B$2:$B$11,MATCH(Datos_Ventas!D111,Productos!$A$2:$A$11,0))</f>
        <v>Collar Ajustable</v>
      </c>
      <c r="F111" t="str">
        <f>INDEX(Productos!$C$2:$C$11,MATCH(Datos_Ventas!D111,Productos!$A$2:$A$11,0))</f>
        <v>Accesorios</v>
      </c>
      <c r="G111" t="str">
        <f>INDEX(Clientes!$B$2:$B$11,MATCH(Datos_Ventas!C111,Clientes!$A$2:$A$11,0))</f>
        <v>Kiosco La Esquina</v>
      </c>
      <c r="H111" t="str">
        <f>INDEX(Clientes!$C$2:$C$11,MATCH(Datos_Ventas!C111,Clientes!$A$2:$A$11,0))</f>
        <v>Minorista</v>
      </c>
      <c r="I111" t="str">
        <f>INDEX(Clientes!$D$2:$D$11,MATCH(Datos_Ventas!C111,Clientes!$A$2:$A$11,0))</f>
        <v>Godoy Cruz</v>
      </c>
      <c r="J111">
        <f>Datos_Ventas!E111</f>
        <v>35</v>
      </c>
      <c r="K111" s="29">
        <f>Datos_Ventas!F111</f>
        <v>3860</v>
      </c>
      <c r="L111" s="29">
        <f>Datos_Ventas!G111</f>
        <v>135100</v>
      </c>
      <c r="M111" s="29">
        <f>J111*INDEX(Productos!$D$2:$D$11,MATCH(Datos_Ventas!D111,Productos!$A$2:$A$11,0))</f>
        <v>66500</v>
      </c>
      <c r="N111" s="29">
        <f t="shared" si="6"/>
        <v>68600</v>
      </c>
      <c r="O111" s="30">
        <f>K111/INDEX(Productos!$E$2:$E$11,MATCH(Datos_Ventas!D111,Productos!$A$2:$A$11,0))-1</f>
        <v>7.2222222222222188E-2</v>
      </c>
      <c r="P111">
        <f t="shared" si="7"/>
        <v>1</v>
      </c>
    </row>
    <row r="112" spans="1:16" x14ac:dyDescent="0.2">
      <c r="A112">
        <f>Datos_Ventas!A112</f>
        <v>115</v>
      </c>
      <c r="B112" s="13">
        <f>Datos_Ventas!B112</f>
        <v>46098</v>
      </c>
      <c r="C112" t="str">
        <f t="shared" si="4"/>
        <v>03 Mar</v>
      </c>
      <c r="D112" t="str">
        <f t="shared" si="5"/>
        <v>T1</v>
      </c>
      <c r="E112" t="str">
        <f>INDEX(Productos!$B$2:$B$11,MATCH(Datos_Ventas!D112,Productos!$A$2:$A$11,0))</f>
        <v>Shampoo Mascotas</v>
      </c>
      <c r="F112" t="str">
        <f>INDEX(Productos!$C$2:$C$11,MATCH(Datos_Ventas!D112,Productos!$A$2:$A$11,0))</f>
        <v>Higiene</v>
      </c>
      <c r="G112" t="str">
        <f>INDEX(Clientes!$B$2:$B$11,MATCH(Datos_Ventas!C112,Clientes!$A$2:$A$11,0))</f>
        <v>Despensa Vero</v>
      </c>
      <c r="H112" t="str">
        <f>INDEX(Clientes!$C$2:$C$11,MATCH(Datos_Ventas!C112,Clientes!$A$2:$A$11,0))</f>
        <v>Minorista</v>
      </c>
      <c r="I112" t="str">
        <f>INDEX(Clientes!$D$2:$D$11,MATCH(Datos_Ventas!C112,Clientes!$A$2:$A$11,0))</f>
        <v>Mendoza</v>
      </c>
      <c r="J112">
        <f>Datos_Ventas!E112</f>
        <v>38</v>
      </c>
      <c r="K112" s="29">
        <f>Datos_Ventas!F112</f>
        <v>3600</v>
      </c>
      <c r="L112" s="29">
        <f>Datos_Ventas!G112</f>
        <v>136800</v>
      </c>
      <c r="M112" s="29">
        <f>J112*INDEX(Productos!$D$2:$D$11,MATCH(Datos_Ventas!D112,Productos!$A$2:$A$11,0))</f>
        <v>83600</v>
      </c>
      <c r="N112" s="29">
        <f t="shared" si="6"/>
        <v>53200</v>
      </c>
      <c r="O112" s="30">
        <f>K112/INDEX(Productos!$E$2:$E$11,MATCH(Datos_Ventas!D112,Productos!$A$2:$A$11,0))-1</f>
        <v>-7.6923076923076872E-2</v>
      </c>
      <c r="P112">
        <f t="shared" si="7"/>
        <v>1</v>
      </c>
    </row>
    <row r="113" spans="1:16" x14ac:dyDescent="0.2">
      <c r="A113">
        <f>Datos_Ventas!A113</f>
        <v>116</v>
      </c>
      <c r="B113" s="13">
        <f>Datos_Ventas!B113</f>
        <v>46098</v>
      </c>
      <c r="C113" t="str">
        <f t="shared" si="4"/>
        <v>03 Mar</v>
      </c>
      <c r="D113" t="str">
        <f t="shared" si="5"/>
        <v>T1</v>
      </c>
      <c r="E113" t="str">
        <f>INDEX(Productos!$B$2:$B$11,MATCH(Datos_Ventas!D113,Productos!$A$2:$A$11,0))</f>
        <v>Alimento Balanceado 15kg</v>
      </c>
      <c r="F113" t="str">
        <f>INDEX(Productos!$C$2:$C$11,MATCH(Datos_Ventas!D113,Productos!$A$2:$A$11,0))</f>
        <v>Alimentos</v>
      </c>
      <c r="G113" t="str">
        <f>INDEX(Clientes!$B$2:$B$11,MATCH(Datos_Ventas!C113,Clientes!$A$2:$A$11,0))</f>
        <v>Despensa Vero</v>
      </c>
      <c r="H113" t="str">
        <f>INDEX(Clientes!$C$2:$C$11,MATCH(Datos_Ventas!C113,Clientes!$A$2:$A$11,0))</f>
        <v>Minorista</v>
      </c>
      <c r="I113" t="str">
        <f>INDEX(Clientes!$D$2:$D$11,MATCH(Datos_Ventas!C113,Clientes!$A$2:$A$11,0))</f>
        <v>Mendoza</v>
      </c>
      <c r="J113">
        <f>Datos_Ventas!E113</f>
        <v>30</v>
      </c>
      <c r="K113" s="29">
        <f>Datos_Ventas!F113</f>
        <v>13370</v>
      </c>
      <c r="L113" s="29">
        <f>Datos_Ventas!G113</f>
        <v>401100</v>
      </c>
      <c r="M113" s="29">
        <f>J113*INDEX(Productos!$D$2:$D$11,MATCH(Datos_Ventas!D113,Productos!$A$2:$A$11,0))</f>
        <v>294000</v>
      </c>
      <c r="N113" s="29">
        <f t="shared" si="6"/>
        <v>107100</v>
      </c>
      <c r="O113" s="30">
        <f>K113/INDEX(Productos!$E$2:$E$11,MATCH(Datos_Ventas!D113,Productos!$A$2:$A$11,0))-1</f>
        <v>-7.7931034482758621E-2</v>
      </c>
      <c r="P113">
        <f t="shared" si="7"/>
        <v>1</v>
      </c>
    </row>
    <row r="114" spans="1:16" x14ac:dyDescent="0.2">
      <c r="A114">
        <f>Datos_Ventas!A114</f>
        <v>117</v>
      </c>
      <c r="B114" s="13">
        <f>Datos_Ventas!B114</f>
        <v>46098</v>
      </c>
      <c r="C114" t="str">
        <f t="shared" si="4"/>
        <v>03 Mar</v>
      </c>
      <c r="D114" t="str">
        <f t="shared" si="5"/>
        <v>T1</v>
      </c>
      <c r="E114" t="str">
        <f>INDEX(Productos!$B$2:$B$11,MATCH(Datos_Ventas!D114,Productos!$A$2:$A$11,0))</f>
        <v>Alimento Balanceado 15kg</v>
      </c>
      <c r="F114" t="str">
        <f>INDEX(Productos!$C$2:$C$11,MATCH(Datos_Ventas!D114,Productos!$A$2:$A$11,0))</f>
        <v>Alimentos</v>
      </c>
      <c r="G114" t="str">
        <f>INDEX(Clientes!$B$2:$B$11,MATCH(Datos_Ventas!C114,Clientes!$A$2:$A$11,0))</f>
        <v>Despensa Vero</v>
      </c>
      <c r="H114" t="str">
        <f>INDEX(Clientes!$C$2:$C$11,MATCH(Datos_Ventas!C114,Clientes!$A$2:$A$11,0))</f>
        <v>Minorista</v>
      </c>
      <c r="I114" t="str">
        <f>INDEX(Clientes!$D$2:$D$11,MATCH(Datos_Ventas!C114,Clientes!$A$2:$A$11,0))</f>
        <v>Mendoza</v>
      </c>
      <c r="J114">
        <f>Datos_Ventas!E114</f>
        <v>18</v>
      </c>
      <c r="K114" s="29">
        <f>Datos_Ventas!F114</f>
        <v>14390</v>
      </c>
      <c r="L114" s="29">
        <f>Datos_Ventas!G114</f>
        <v>259020</v>
      </c>
      <c r="M114" s="29">
        <f>J114*INDEX(Productos!$D$2:$D$11,MATCH(Datos_Ventas!D114,Productos!$A$2:$A$11,0))</f>
        <v>176400</v>
      </c>
      <c r="N114" s="29">
        <f t="shared" si="6"/>
        <v>82620</v>
      </c>
      <c r="O114" s="30">
        <f>K114/INDEX(Productos!$E$2:$E$11,MATCH(Datos_Ventas!D114,Productos!$A$2:$A$11,0))-1</f>
        <v>-7.5862068965517615E-3</v>
      </c>
      <c r="P114">
        <f t="shared" si="7"/>
        <v>1</v>
      </c>
    </row>
    <row r="115" spans="1:16" x14ac:dyDescent="0.2">
      <c r="A115">
        <f>Datos_Ventas!A115</f>
        <v>118</v>
      </c>
      <c r="B115" s="13">
        <f>Datos_Ventas!B115</f>
        <v>46099</v>
      </c>
      <c r="C115" t="str">
        <f t="shared" si="4"/>
        <v>03 Mar</v>
      </c>
      <c r="D115" t="str">
        <f t="shared" si="5"/>
        <v>T1</v>
      </c>
      <c r="E115" t="str">
        <f>INDEX(Productos!$B$2:$B$11,MATCH(Datos_Ventas!D115,Productos!$A$2:$A$11,0))</f>
        <v>Collar Ajustable</v>
      </c>
      <c r="F115" t="str">
        <f>INDEX(Productos!$C$2:$C$11,MATCH(Datos_Ventas!D115,Productos!$A$2:$A$11,0))</f>
        <v>Accesorios</v>
      </c>
      <c r="G115" t="str">
        <f>INDEX(Clientes!$B$2:$B$11,MATCH(Datos_Ventas!C115,Clientes!$A$2:$A$11,0))</f>
        <v>Distribuidora Andes</v>
      </c>
      <c r="H115" t="str">
        <f>INDEX(Clientes!$C$2:$C$11,MATCH(Datos_Ventas!C115,Clientes!$A$2:$A$11,0))</f>
        <v>Mayorista</v>
      </c>
      <c r="I115" t="str">
        <f>INDEX(Clientes!$D$2:$D$11,MATCH(Datos_Ventas!C115,Clientes!$A$2:$A$11,0))</f>
        <v>Mendoza</v>
      </c>
      <c r="J115">
        <f>Datos_Ventas!E115</f>
        <v>19</v>
      </c>
      <c r="K115" s="29">
        <f>Datos_Ventas!F115</f>
        <v>3390</v>
      </c>
      <c r="L115" s="29">
        <f>Datos_Ventas!G115</f>
        <v>64410</v>
      </c>
      <c r="M115" s="29">
        <f>J115*INDEX(Productos!$D$2:$D$11,MATCH(Datos_Ventas!D115,Productos!$A$2:$A$11,0))</f>
        <v>36100</v>
      </c>
      <c r="N115" s="29">
        <f t="shared" si="6"/>
        <v>28310</v>
      </c>
      <c r="O115" s="30">
        <f>K115/INDEX(Productos!$E$2:$E$11,MATCH(Datos_Ventas!D115,Productos!$A$2:$A$11,0))-1</f>
        <v>-5.8333333333333348E-2</v>
      </c>
      <c r="P115">
        <f t="shared" si="7"/>
        <v>1</v>
      </c>
    </row>
    <row r="116" spans="1:16" x14ac:dyDescent="0.2">
      <c r="A116">
        <f>Datos_Ventas!A116</f>
        <v>119</v>
      </c>
      <c r="B116" s="13">
        <f>Datos_Ventas!B116</f>
        <v>46099</v>
      </c>
      <c r="C116" t="str">
        <f t="shared" si="4"/>
        <v>03 Mar</v>
      </c>
      <c r="D116" t="str">
        <f t="shared" si="5"/>
        <v>T1</v>
      </c>
      <c r="E116" t="str">
        <f>INDEX(Productos!$B$2:$B$11,MATCH(Datos_Ventas!D116,Productos!$A$2:$A$11,0))</f>
        <v>Shampoo Mascotas</v>
      </c>
      <c r="F116" t="str">
        <f>INDEX(Productos!$C$2:$C$11,MATCH(Datos_Ventas!D116,Productos!$A$2:$A$11,0))</f>
        <v>Higiene</v>
      </c>
      <c r="G116" t="str">
        <f>INDEX(Clientes!$B$2:$B$11,MATCH(Datos_Ventas!C116,Clientes!$A$2:$A$11,0))</f>
        <v>Almacén Don Pedro</v>
      </c>
      <c r="H116" t="str">
        <f>INDEX(Clientes!$C$2:$C$11,MATCH(Datos_Ventas!C116,Clientes!$A$2:$A$11,0))</f>
        <v>Minorista</v>
      </c>
      <c r="I116" t="str">
        <f>INDEX(Clientes!$D$2:$D$11,MATCH(Datos_Ventas!C116,Clientes!$A$2:$A$11,0))</f>
        <v>Maipú</v>
      </c>
      <c r="J116">
        <f>Datos_Ventas!E116</f>
        <v>16</v>
      </c>
      <c r="K116" s="29">
        <f>Datos_Ventas!F116</f>
        <v>4010</v>
      </c>
      <c r="L116" s="29">
        <f>Datos_Ventas!G116</f>
        <v>64160</v>
      </c>
      <c r="M116" s="29">
        <f>J116*INDEX(Productos!$D$2:$D$11,MATCH(Datos_Ventas!D116,Productos!$A$2:$A$11,0))</f>
        <v>35200</v>
      </c>
      <c r="N116" s="29">
        <f t="shared" si="6"/>
        <v>28960</v>
      </c>
      <c r="O116" s="30">
        <f>K116/INDEX(Productos!$E$2:$E$11,MATCH(Datos_Ventas!D116,Productos!$A$2:$A$11,0))-1</f>
        <v>2.8205128205128105E-2</v>
      </c>
      <c r="P116">
        <f t="shared" si="7"/>
        <v>1</v>
      </c>
    </row>
    <row r="117" spans="1:16" x14ac:dyDescent="0.2">
      <c r="A117">
        <f>Datos_Ventas!A117</f>
        <v>120</v>
      </c>
      <c r="B117" s="13">
        <f>Datos_Ventas!B117</f>
        <v>46100</v>
      </c>
      <c r="C117" t="str">
        <f t="shared" si="4"/>
        <v>03 Mar</v>
      </c>
      <c r="D117" t="str">
        <f t="shared" si="5"/>
        <v>T1</v>
      </c>
      <c r="E117" t="str">
        <f>INDEX(Productos!$B$2:$B$11,MATCH(Datos_Ventas!D117,Productos!$A$2:$A$11,0))</f>
        <v>Aceite Omega</v>
      </c>
      <c r="F117" t="str">
        <f>INDEX(Productos!$C$2:$C$11,MATCH(Datos_Ventas!D117,Productos!$A$2:$A$11,0))</f>
        <v>Suplementos</v>
      </c>
      <c r="G117" t="str">
        <f>INDEX(Clientes!$B$2:$B$11,MATCH(Datos_Ventas!C117,Clientes!$A$2:$A$11,0))</f>
        <v>Mayorista del Sol</v>
      </c>
      <c r="H117" t="str">
        <f>INDEX(Clientes!$C$2:$C$11,MATCH(Datos_Ventas!C117,Clientes!$A$2:$A$11,0))</f>
        <v>Mayorista</v>
      </c>
      <c r="I117" t="str">
        <f>INDEX(Clientes!$D$2:$D$11,MATCH(Datos_Ventas!C117,Clientes!$A$2:$A$11,0))</f>
        <v>San Martín</v>
      </c>
      <c r="J117">
        <f>Datos_Ventas!E117</f>
        <v>7</v>
      </c>
      <c r="K117" s="29">
        <f>Datos_Ventas!F117</f>
        <v>5660</v>
      </c>
      <c r="L117" s="29">
        <f>Datos_Ventas!G117</f>
        <v>39620</v>
      </c>
      <c r="M117" s="29">
        <f>J117*INDEX(Productos!$D$2:$D$11,MATCH(Datos_Ventas!D117,Productos!$A$2:$A$11,0))</f>
        <v>21700</v>
      </c>
      <c r="N117" s="29">
        <f t="shared" si="6"/>
        <v>17920</v>
      </c>
      <c r="O117" s="30">
        <f>K117/INDEX(Productos!$E$2:$E$11,MATCH(Datos_Ventas!D117,Productos!$A$2:$A$11,0))-1</f>
        <v>1.0714285714285676E-2</v>
      </c>
      <c r="P117">
        <f t="shared" si="7"/>
        <v>1</v>
      </c>
    </row>
    <row r="118" spans="1:16" x14ac:dyDescent="0.2">
      <c r="A118">
        <f>Datos_Ventas!A118</f>
        <v>121</v>
      </c>
      <c r="B118" s="13">
        <f>Datos_Ventas!B118</f>
        <v>46102</v>
      </c>
      <c r="C118" t="str">
        <f t="shared" si="4"/>
        <v>03 Mar</v>
      </c>
      <c r="D118" t="str">
        <f t="shared" si="5"/>
        <v>T1</v>
      </c>
      <c r="E118" t="str">
        <f>INDEX(Productos!$B$2:$B$11,MATCH(Datos_Ventas!D118,Productos!$A$2:$A$11,0))</f>
        <v>Alimento Premium 10kg</v>
      </c>
      <c r="F118" t="str">
        <f>INDEX(Productos!$C$2:$C$11,MATCH(Datos_Ventas!D118,Productos!$A$2:$A$11,0))</f>
        <v>Alimentos</v>
      </c>
      <c r="G118" t="str">
        <f>INDEX(Clientes!$B$2:$B$11,MATCH(Datos_Ventas!C118,Clientes!$A$2:$A$11,0))</f>
        <v>Supermercado Cuyo</v>
      </c>
      <c r="H118" t="str">
        <f>INDEX(Clientes!$C$2:$C$11,MATCH(Datos_Ventas!C118,Clientes!$A$2:$A$11,0))</f>
        <v>Retail</v>
      </c>
      <c r="I118" t="str">
        <f>INDEX(Clientes!$D$2:$D$11,MATCH(Datos_Ventas!C118,Clientes!$A$2:$A$11,0))</f>
        <v>Guaymallén</v>
      </c>
      <c r="J118">
        <f>Datos_Ventas!E118</f>
        <v>24</v>
      </c>
      <c r="K118" s="29">
        <f>Datos_Ventas!F118</f>
        <v>20010</v>
      </c>
      <c r="L118" s="29">
        <f>Datos_Ventas!G118</f>
        <v>480240</v>
      </c>
      <c r="M118" s="29">
        <f>J118*INDEX(Productos!$D$2:$D$11,MATCH(Datos_Ventas!D118,Productos!$A$2:$A$11,0))</f>
        <v>300000</v>
      </c>
      <c r="N118" s="29">
        <f t="shared" si="6"/>
        <v>180240</v>
      </c>
      <c r="O118" s="30">
        <f>K118/INDEX(Productos!$E$2:$E$11,MATCH(Datos_Ventas!D118,Productos!$A$2:$A$11,0))-1</f>
        <v>5.8730158730158744E-2</v>
      </c>
      <c r="P118">
        <f t="shared" si="7"/>
        <v>1</v>
      </c>
    </row>
    <row r="119" spans="1:16" x14ac:dyDescent="0.2">
      <c r="A119">
        <f>Datos_Ventas!A119</f>
        <v>122</v>
      </c>
      <c r="B119" s="13">
        <f>Datos_Ventas!B119</f>
        <v>46102</v>
      </c>
      <c r="C119" t="str">
        <f t="shared" si="4"/>
        <v>03 Mar</v>
      </c>
      <c r="D119" t="str">
        <f t="shared" si="5"/>
        <v>T1</v>
      </c>
      <c r="E119" t="str">
        <f>INDEX(Productos!$B$2:$B$11,MATCH(Datos_Ventas!D119,Productos!$A$2:$A$11,0))</f>
        <v>Aceite Omega</v>
      </c>
      <c r="F119" t="str">
        <f>INDEX(Productos!$C$2:$C$11,MATCH(Datos_Ventas!D119,Productos!$A$2:$A$11,0))</f>
        <v>Suplementos</v>
      </c>
      <c r="G119" t="str">
        <f>INDEX(Clientes!$B$2:$B$11,MATCH(Datos_Ventas!C119,Clientes!$A$2:$A$11,0))</f>
        <v>Despensa Vero</v>
      </c>
      <c r="H119" t="str">
        <f>INDEX(Clientes!$C$2:$C$11,MATCH(Datos_Ventas!C119,Clientes!$A$2:$A$11,0))</f>
        <v>Minorista</v>
      </c>
      <c r="I119" t="str">
        <f>INDEX(Clientes!$D$2:$D$11,MATCH(Datos_Ventas!C119,Clientes!$A$2:$A$11,0))</f>
        <v>Mendoza</v>
      </c>
      <c r="J119">
        <f>Datos_Ventas!E119</f>
        <v>34</v>
      </c>
      <c r="K119" s="29">
        <f>Datos_Ventas!F119</f>
        <v>5550</v>
      </c>
      <c r="L119" s="29">
        <f>Datos_Ventas!G119</f>
        <v>188700</v>
      </c>
      <c r="M119" s="29">
        <f>J119*INDEX(Productos!$D$2:$D$11,MATCH(Datos_Ventas!D119,Productos!$A$2:$A$11,0))</f>
        <v>105400</v>
      </c>
      <c r="N119" s="29">
        <f t="shared" si="6"/>
        <v>83300</v>
      </c>
      <c r="O119" s="30">
        <f>K119/INDEX(Productos!$E$2:$E$11,MATCH(Datos_Ventas!D119,Productos!$A$2:$A$11,0))-1</f>
        <v>-8.9285714285713969E-3</v>
      </c>
      <c r="P119">
        <f t="shared" si="7"/>
        <v>1</v>
      </c>
    </row>
    <row r="120" spans="1:16" x14ac:dyDescent="0.2">
      <c r="A120">
        <f>Datos_Ventas!A120</f>
        <v>123</v>
      </c>
      <c r="B120" s="13">
        <f>Datos_Ventas!B120</f>
        <v>46104</v>
      </c>
      <c r="C120" t="str">
        <f t="shared" si="4"/>
        <v>03 Mar</v>
      </c>
      <c r="D120" t="str">
        <f t="shared" si="5"/>
        <v>T1</v>
      </c>
      <c r="E120" t="str">
        <f>INDEX(Productos!$B$2:$B$11,MATCH(Datos_Ventas!D120,Productos!$A$2:$A$11,0))</f>
        <v>Juguete Pelota</v>
      </c>
      <c r="F120" t="str">
        <f>INDEX(Productos!$C$2:$C$11,MATCH(Datos_Ventas!D120,Productos!$A$2:$A$11,0))</f>
        <v>Accesorios</v>
      </c>
      <c r="G120" t="str">
        <f>INDEX(Clientes!$B$2:$B$11,MATCH(Datos_Ventas!C120,Clientes!$A$2:$A$11,0))</f>
        <v>Despensa Vero</v>
      </c>
      <c r="H120" t="str">
        <f>INDEX(Clientes!$C$2:$C$11,MATCH(Datos_Ventas!C120,Clientes!$A$2:$A$11,0))</f>
        <v>Minorista</v>
      </c>
      <c r="I120" t="str">
        <f>INDEX(Clientes!$D$2:$D$11,MATCH(Datos_Ventas!C120,Clientes!$A$2:$A$11,0))</f>
        <v>Mendoza</v>
      </c>
      <c r="J120">
        <f>Datos_Ventas!E120</f>
        <v>28</v>
      </c>
      <c r="K120" s="29">
        <f>Datos_Ventas!F120</f>
        <v>1900</v>
      </c>
      <c r="L120" s="29">
        <f>Datos_Ventas!G120</f>
        <v>53200</v>
      </c>
      <c r="M120" s="29">
        <f>J120*INDEX(Productos!$D$2:$D$11,MATCH(Datos_Ventas!D120,Productos!$A$2:$A$11,0))</f>
        <v>25200</v>
      </c>
      <c r="N120" s="29">
        <f t="shared" si="6"/>
        <v>28000</v>
      </c>
      <c r="O120" s="30">
        <f>K120/INDEX(Productos!$E$2:$E$11,MATCH(Datos_Ventas!D120,Productos!$A$2:$A$11,0))-1</f>
        <v>5.555555555555558E-2</v>
      </c>
      <c r="P120">
        <f t="shared" si="7"/>
        <v>1</v>
      </c>
    </row>
    <row r="121" spans="1:16" x14ac:dyDescent="0.2">
      <c r="A121">
        <f>Datos_Ventas!A121</f>
        <v>124</v>
      </c>
      <c r="B121" s="13">
        <f>Datos_Ventas!B121</f>
        <v>46104</v>
      </c>
      <c r="C121" t="str">
        <f t="shared" si="4"/>
        <v>03 Mar</v>
      </c>
      <c r="D121" t="str">
        <f t="shared" si="5"/>
        <v>T1</v>
      </c>
      <c r="E121" t="str">
        <f>INDEX(Productos!$B$2:$B$11,MATCH(Datos_Ventas!D121,Productos!$A$2:$A$11,0))</f>
        <v>Collar Ajustable</v>
      </c>
      <c r="F121" t="str">
        <f>INDEX(Productos!$C$2:$C$11,MATCH(Datos_Ventas!D121,Productos!$A$2:$A$11,0))</f>
        <v>Accesorios</v>
      </c>
      <c r="G121" t="str">
        <f>INDEX(Clientes!$B$2:$B$11,MATCH(Datos_Ventas!C121,Clientes!$A$2:$A$11,0))</f>
        <v>Hiper Centro</v>
      </c>
      <c r="H121" t="str">
        <f>INDEX(Clientes!$C$2:$C$11,MATCH(Datos_Ventas!C121,Clientes!$A$2:$A$11,0))</f>
        <v>Retail</v>
      </c>
      <c r="I121" t="str">
        <f>INDEX(Clientes!$D$2:$D$11,MATCH(Datos_Ventas!C121,Clientes!$A$2:$A$11,0))</f>
        <v>Luján de Cuyo</v>
      </c>
      <c r="J121">
        <f>Datos_Ventas!E121</f>
        <v>18</v>
      </c>
      <c r="K121" s="29">
        <f>Datos_Ventas!F121</f>
        <v>3790</v>
      </c>
      <c r="L121" s="29">
        <f>Datos_Ventas!G121</f>
        <v>68220</v>
      </c>
      <c r="M121" s="29">
        <f>J121*INDEX(Productos!$D$2:$D$11,MATCH(Datos_Ventas!D121,Productos!$A$2:$A$11,0))</f>
        <v>34200</v>
      </c>
      <c r="N121" s="29">
        <f t="shared" si="6"/>
        <v>34020</v>
      </c>
      <c r="O121" s="30">
        <f>K121/INDEX(Productos!$E$2:$E$11,MATCH(Datos_Ventas!D121,Productos!$A$2:$A$11,0))-1</f>
        <v>5.2777777777777812E-2</v>
      </c>
      <c r="P121">
        <f t="shared" si="7"/>
        <v>1</v>
      </c>
    </row>
    <row r="122" spans="1:16" x14ac:dyDescent="0.2">
      <c r="A122">
        <f>Datos_Ventas!A122</f>
        <v>125</v>
      </c>
      <c r="B122" s="13">
        <f>Datos_Ventas!B122</f>
        <v>46105</v>
      </c>
      <c r="C122" t="str">
        <f t="shared" si="4"/>
        <v>03 Mar</v>
      </c>
      <c r="D122" t="str">
        <f t="shared" si="5"/>
        <v>T1</v>
      </c>
      <c r="E122" t="str">
        <f>INDEX(Productos!$B$2:$B$11,MATCH(Datos_Ventas!D122,Productos!$A$2:$A$11,0))</f>
        <v>Aceite Omega</v>
      </c>
      <c r="F122" t="str">
        <f>INDEX(Productos!$C$2:$C$11,MATCH(Datos_Ventas!D122,Productos!$A$2:$A$11,0))</f>
        <v>Suplementos</v>
      </c>
      <c r="G122" t="str">
        <f>INDEX(Clientes!$B$2:$B$11,MATCH(Datos_Ventas!C122,Clientes!$A$2:$A$11,0))</f>
        <v>Kiosco La Esquina</v>
      </c>
      <c r="H122" t="str">
        <f>INDEX(Clientes!$C$2:$C$11,MATCH(Datos_Ventas!C122,Clientes!$A$2:$A$11,0))</f>
        <v>Minorista</v>
      </c>
      <c r="I122" t="str">
        <f>INDEX(Clientes!$D$2:$D$11,MATCH(Datos_Ventas!C122,Clientes!$A$2:$A$11,0))</f>
        <v>Godoy Cruz</v>
      </c>
      <c r="J122">
        <f>Datos_Ventas!E122</f>
        <v>14</v>
      </c>
      <c r="K122" s="29">
        <f>Datos_Ventas!F122</f>
        <v>5190</v>
      </c>
      <c r="L122" s="29">
        <f>Datos_Ventas!G122</f>
        <v>72660</v>
      </c>
      <c r="M122" s="29">
        <f>J122*INDEX(Productos!$D$2:$D$11,MATCH(Datos_Ventas!D122,Productos!$A$2:$A$11,0))</f>
        <v>43400</v>
      </c>
      <c r="N122" s="29">
        <f t="shared" si="6"/>
        <v>29260</v>
      </c>
      <c r="O122" s="30">
        <f>K122/INDEX(Productos!$E$2:$E$11,MATCH(Datos_Ventas!D122,Productos!$A$2:$A$11,0))-1</f>
        <v>-7.3214285714285676E-2</v>
      </c>
      <c r="P122">
        <f t="shared" si="7"/>
        <v>1</v>
      </c>
    </row>
    <row r="123" spans="1:16" x14ac:dyDescent="0.2">
      <c r="A123">
        <f>Datos_Ventas!A123</f>
        <v>126</v>
      </c>
      <c r="B123" s="13">
        <f>Datos_Ventas!B123</f>
        <v>46105</v>
      </c>
      <c r="C123" t="str">
        <f t="shared" si="4"/>
        <v>03 Mar</v>
      </c>
      <c r="D123" t="str">
        <f t="shared" si="5"/>
        <v>T1</v>
      </c>
      <c r="E123" t="str">
        <f>INDEX(Productos!$B$2:$B$11,MATCH(Datos_Ventas!D123,Productos!$A$2:$A$11,0))</f>
        <v>Galletas Perro</v>
      </c>
      <c r="F123" t="str">
        <f>INDEX(Productos!$C$2:$C$11,MATCH(Datos_Ventas!D123,Productos!$A$2:$A$11,0))</f>
        <v>Snacks</v>
      </c>
      <c r="G123" t="str">
        <f>INDEX(Clientes!$B$2:$B$11,MATCH(Datos_Ventas!C123,Clientes!$A$2:$A$11,0))</f>
        <v>Hiper Centro</v>
      </c>
      <c r="H123" t="str">
        <f>INDEX(Clientes!$C$2:$C$11,MATCH(Datos_Ventas!C123,Clientes!$A$2:$A$11,0))</f>
        <v>Retail</v>
      </c>
      <c r="I123" t="str">
        <f>INDEX(Clientes!$D$2:$D$11,MATCH(Datos_Ventas!C123,Clientes!$A$2:$A$11,0))</f>
        <v>Luján de Cuyo</v>
      </c>
      <c r="J123">
        <f>Datos_Ventas!E123</f>
        <v>3</v>
      </c>
      <c r="K123" s="29">
        <f>Datos_Ventas!F123</f>
        <v>2690</v>
      </c>
      <c r="L123" s="29">
        <f>Datos_Ventas!G123</f>
        <v>8070</v>
      </c>
      <c r="M123" s="29">
        <f>J123*INDEX(Productos!$D$2:$D$11,MATCH(Datos_Ventas!D123,Productos!$A$2:$A$11,0))</f>
        <v>4500</v>
      </c>
      <c r="N123" s="29">
        <f t="shared" si="6"/>
        <v>3570</v>
      </c>
      <c r="O123" s="30">
        <f>K123/INDEX(Productos!$E$2:$E$11,MATCH(Datos_Ventas!D123,Productos!$A$2:$A$11,0))-1</f>
        <v>-3.7037037037036535E-3</v>
      </c>
      <c r="P123">
        <f t="shared" si="7"/>
        <v>1</v>
      </c>
    </row>
    <row r="124" spans="1:16" x14ac:dyDescent="0.2">
      <c r="A124">
        <f>Datos_Ventas!A124</f>
        <v>128</v>
      </c>
      <c r="B124" s="13">
        <f>Datos_Ventas!B124</f>
        <v>46105</v>
      </c>
      <c r="C124" t="str">
        <f t="shared" si="4"/>
        <v>03 Mar</v>
      </c>
      <c r="D124" t="str">
        <f t="shared" si="5"/>
        <v>T1</v>
      </c>
      <c r="E124" t="str">
        <f>INDEX(Productos!$B$2:$B$11,MATCH(Datos_Ventas!D124,Productos!$A$2:$A$11,0))</f>
        <v>Alimento Premium 10kg</v>
      </c>
      <c r="F124" t="str">
        <f>INDEX(Productos!$C$2:$C$11,MATCH(Datos_Ventas!D124,Productos!$A$2:$A$11,0))</f>
        <v>Alimentos</v>
      </c>
      <c r="G124" t="str">
        <f>INDEX(Clientes!$B$2:$B$11,MATCH(Datos_Ventas!C124,Clientes!$A$2:$A$11,0))</f>
        <v>Mayorista del Sol</v>
      </c>
      <c r="H124" t="str">
        <f>INDEX(Clientes!$C$2:$C$11,MATCH(Datos_Ventas!C124,Clientes!$A$2:$A$11,0))</f>
        <v>Mayorista</v>
      </c>
      <c r="I124" t="str">
        <f>INDEX(Clientes!$D$2:$D$11,MATCH(Datos_Ventas!C124,Clientes!$A$2:$A$11,0))</f>
        <v>San Martín</v>
      </c>
      <c r="J124">
        <f>Datos_Ventas!E124</f>
        <v>39</v>
      </c>
      <c r="K124" s="29">
        <f>Datos_Ventas!F124</f>
        <v>18690</v>
      </c>
      <c r="L124" s="29">
        <f>Datos_Ventas!G124</f>
        <v>728910</v>
      </c>
      <c r="M124" s="29">
        <f>J124*INDEX(Productos!$D$2:$D$11,MATCH(Datos_Ventas!D124,Productos!$A$2:$A$11,0))</f>
        <v>487500</v>
      </c>
      <c r="N124" s="29">
        <f t="shared" si="6"/>
        <v>241410</v>
      </c>
      <c r="O124" s="30">
        <f>K124/INDEX(Productos!$E$2:$E$11,MATCH(Datos_Ventas!D124,Productos!$A$2:$A$11,0))-1</f>
        <v>-1.1111111111111072E-2</v>
      </c>
      <c r="P124">
        <f t="shared" si="7"/>
        <v>1</v>
      </c>
    </row>
    <row r="125" spans="1:16" x14ac:dyDescent="0.2">
      <c r="A125">
        <f>Datos_Ventas!A125</f>
        <v>129</v>
      </c>
      <c r="B125" s="13">
        <f>Datos_Ventas!B125</f>
        <v>46105</v>
      </c>
      <c r="C125" t="str">
        <f t="shared" si="4"/>
        <v>03 Mar</v>
      </c>
      <c r="D125" t="str">
        <f t="shared" si="5"/>
        <v>T1</v>
      </c>
      <c r="E125" t="str">
        <f>INDEX(Productos!$B$2:$B$11,MATCH(Datos_Ventas!D125,Productos!$A$2:$A$11,0))</f>
        <v>Collar Ajustable</v>
      </c>
      <c r="F125" t="str">
        <f>INDEX(Productos!$C$2:$C$11,MATCH(Datos_Ventas!D125,Productos!$A$2:$A$11,0))</f>
        <v>Accesorios</v>
      </c>
      <c r="G125" t="str">
        <f>INDEX(Clientes!$B$2:$B$11,MATCH(Datos_Ventas!C125,Clientes!$A$2:$A$11,0))</f>
        <v>Hiper Centro</v>
      </c>
      <c r="H125" t="str">
        <f>INDEX(Clientes!$C$2:$C$11,MATCH(Datos_Ventas!C125,Clientes!$A$2:$A$11,0))</f>
        <v>Retail</v>
      </c>
      <c r="I125" t="str">
        <f>INDEX(Clientes!$D$2:$D$11,MATCH(Datos_Ventas!C125,Clientes!$A$2:$A$11,0))</f>
        <v>Luján de Cuyo</v>
      </c>
      <c r="J125">
        <f>Datos_Ventas!E125</f>
        <v>18</v>
      </c>
      <c r="K125" s="29">
        <f>Datos_Ventas!F125</f>
        <v>3350</v>
      </c>
      <c r="L125" s="29">
        <f>Datos_Ventas!G125</f>
        <v>60300</v>
      </c>
      <c r="M125" s="29">
        <f>J125*INDEX(Productos!$D$2:$D$11,MATCH(Datos_Ventas!D125,Productos!$A$2:$A$11,0))</f>
        <v>34200</v>
      </c>
      <c r="N125" s="29">
        <f t="shared" si="6"/>
        <v>26100</v>
      </c>
      <c r="O125" s="30">
        <f>K125/INDEX(Productos!$E$2:$E$11,MATCH(Datos_Ventas!D125,Productos!$A$2:$A$11,0))-1</f>
        <v>-6.944444444444442E-2</v>
      </c>
      <c r="P125">
        <f t="shared" si="7"/>
        <v>1</v>
      </c>
    </row>
    <row r="126" spans="1:16" x14ac:dyDescent="0.2">
      <c r="A126">
        <f>Datos_Ventas!A126</f>
        <v>130</v>
      </c>
      <c r="B126" s="13">
        <f>Datos_Ventas!B126</f>
        <v>46106</v>
      </c>
      <c r="C126" t="str">
        <f t="shared" si="4"/>
        <v>03 Mar</v>
      </c>
      <c r="D126" t="str">
        <f t="shared" si="5"/>
        <v>T1</v>
      </c>
      <c r="E126" t="str">
        <f>INDEX(Productos!$B$2:$B$11,MATCH(Datos_Ventas!D126,Productos!$A$2:$A$11,0))</f>
        <v>Galletas Perro</v>
      </c>
      <c r="F126" t="str">
        <f>INDEX(Productos!$C$2:$C$11,MATCH(Datos_Ventas!D126,Productos!$A$2:$A$11,0))</f>
        <v>Snacks</v>
      </c>
      <c r="G126" t="str">
        <f>INDEX(Clientes!$B$2:$B$11,MATCH(Datos_Ventas!C126,Clientes!$A$2:$A$11,0))</f>
        <v>Distribuidora Andes</v>
      </c>
      <c r="H126" t="str">
        <f>INDEX(Clientes!$C$2:$C$11,MATCH(Datos_Ventas!C126,Clientes!$A$2:$A$11,0))</f>
        <v>Mayorista</v>
      </c>
      <c r="I126" t="str">
        <f>INDEX(Clientes!$D$2:$D$11,MATCH(Datos_Ventas!C126,Clientes!$A$2:$A$11,0))</f>
        <v>Mendoza</v>
      </c>
      <c r="J126">
        <f>Datos_Ventas!E126</f>
        <v>2</v>
      </c>
      <c r="K126" s="29">
        <f>Datos_Ventas!F126</f>
        <v>2730</v>
      </c>
      <c r="L126" s="29">
        <f>Datos_Ventas!G126</f>
        <v>5460</v>
      </c>
      <c r="M126" s="29">
        <f>J126*INDEX(Productos!$D$2:$D$11,MATCH(Datos_Ventas!D126,Productos!$A$2:$A$11,0))</f>
        <v>3000</v>
      </c>
      <c r="N126" s="29">
        <f t="shared" si="6"/>
        <v>2460</v>
      </c>
      <c r="O126" s="30">
        <f>K126/INDEX(Productos!$E$2:$E$11,MATCH(Datos_Ventas!D126,Productos!$A$2:$A$11,0))-1</f>
        <v>1.1111111111111072E-2</v>
      </c>
      <c r="P126">
        <f t="shared" si="7"/>
        <v>1</v>
      </c>
    </row>
    <row r="127" spans="1:16" x14ac:dyDescent="0.2">
      <c r="A127">
        <f>Datos_Ventas!A127</f>
        <v>131</v>
      </c>
      <c r="B127" s="13">
        <f>Datos_Ventas!B127</f>
        <v>46106</v>
      </c>
      <c r="C127" t="str">
        <f t="shared" si="4"/>
        <v>03 Mar</v>
      </c>
      <c r="D127" t="str">
        <f t="shared" si="5"/>
        <v>T1</v>
      </c>
      <c r="E127" t="str">
        <f>INDEX(Productos!$B$2:$B$11,MATCH(Datos_Ventas!D127,Productos!$A$2:$A$11,0))</f>
        <v>Arena Sanitaria</v>
      </c>
      <c r="F127" t="str">
        <f>INDEX(Productos!$C$2:$C$11,MATCH(Datos_Ventas!D127,Productos!$A$2:$A$11,0))</f>
        <v>Higiene</v>
      </c>
      <c r="G127" t="str">
        <f>INDEX(Clientes!$B$2:$B$11,MATCH(Datos_Ventas!C127,Clientes!$A$2:$A$11,0))</f>
        <v>Kiosco La Esquina</v>
      </c>
      <c r="H127" t="str">
        <f>INDEX(Clientes!$C$2:$C$11,MATCH(Datos_Ventas!C127,Clientes!$A$2:$A$11,0))</f>
        <v>Minorista</v>
      </c>
      <c r="I127" t="str">
        <f>INDEX(Clientes!$D$2:$D$11,MATCH(Datos_Ventas!C127,Clientes!$A$2:$A$11,0))</f>
        <v>Godoy Cruz</v>
      </c>
      <c r="J127">
        <f>Datos_Ventas!E127</f>
        <v>34</v>
      </c>
      <c r="K127" s="29">
        <f>Datos_Ventas!F127</f>
        <v>4470</v>
      </c>
      <c r="L127" s="29">
        <f>Datos_Ventas!G127</f>
        <v>151980</v>
      </c>
      <c r="M127" s="29">
        <f>J127*INDEX(Productos!$D$2:$D$11,MATCH(Datos_Ventas!D127,Productos!$A$2:$A$11,0))</f>
        <v>88400</v>
      </c>
      <c r="N127" s="29">
        <f t="shared" si="6"/>
        <v>63580</v>
      </c>
      <c r="O127" s="30">
        <f>K127/INDEX(Productos!$E$2:$E$11,MATCH(Datos_Ventas!D127,Productos!$A$2:$A$11,0))-1</f>
        <v>1.5909090909090873E-2</v>
      </c>
      <c r="P127">
        <f t="shared" si="7"/>
        <v>1</v>
      </c>
    </row>
    <row r="128" spans="1:16" x14ac:dyDescent="0.2">
      <c r="A128">
        <f>Datos_Ventas!A128</f>
        <v>132</v>
      </c>
      <c r="B128" s="13">
        <f>Datos_Ventas!B128</f>
        <v>46106</v>
      </c>
      <c r="C128" t="str">
        <f t="shared" si="4"/>
        <v>03 Mar</v>
      </c>
      <c r="D128" t="str">
        <f t="shared" si="5"/>
        <v>T1</v>
      </c>
      <c r="E128" t="str">
        <f>INDEX(Productos!$B$2:$B$11,MATCH(Datos_Ventas!D128,Productos!$A$2:$A$11,0))</f>
        <v>Alimento Premium 10kg</v>
      </c>
      <c r="F128" t="str">
        <f>INDEX(Productos!$C$2:$C$11,MATCH(Datos_Ventas!D128,Productos!$A$2:$A$11,0))</f>
        <v>Alimentos</v>
      </c>
      <c r="G128" t="str">
        <f>INDEX(Clientes!$B$2:$B$11,MATCH(Datos_Ventas!C128,Clientes!$A$2:$A$11,0))</f>
        <v>Autoservicio Norte</v>
      </c>
      <c r="H128" t="str">
        <f>INDEX(Clientes!$C$2:$C$11,MATCH(Datos_Ventas!C128,Clientes!$A$2:$A$11,0))</f>
        <v>Retail</v>
      </c>
      <c r="I128" t="str">
        <f>INDEX(Clientes!$D$2:$D$11,MATCH(Datos_Ventas!C128,Clientes!$A$2:$A$11,0))</f>
        <v>Las Heras</v>
      </c>
      <c r="J128">
        <f>Datos_Ventas!E128</f>
        <v>20</v>
      </c>
      <c r="K128" s="29">
        <f>Datos_Ventas!F128</f>
        <v>19140</v>
      </c>
      <c r="L128" s="29">
        <f>Datos_Ventas!G128</f>
        <v>382800</v>
      </c>
      <c r="M128" s="29">
        <f>J128*INDEX(Productos!$D$2:$D$11,MATCH(Datos_Ventas!D128,Productos!$A$2:$A$11,0))</f>
        <v>250000</v>
      </c>
      <c r="N128" s="29">
        <f t="shared" si="6"/>
        <v>132800</v>
      </c>
      <c r="O128" s="30">
        <f>K128/INDEX(Productos!$E$2:$E$11,MATCH(Datos_Ventas!D128,Productos!$A$2:$A$11,0))-1</f>
        <v>1.2698412698412653E-2</v>
      </c>
      <c r="P128">
        <f t="shared" si="7"/>
        <v>1</v>
      </c>
    </row>
    <row r="129" spans="1:16" x14ac:dyDescent="0.2">
      <c r="A129">
        <f>Datos_Ventas!A129</f>
        <v>133</v>
      </c>
      <c r="B129" s="13">
        <f>Datos_Ventas!B129</f>
        <v>46106</v>
      </c>
      <c r="C129" t="str">
        <f t="shared" si="4"/>
        <v>03 Mar</v>
      </c>
      <c r="D129" t="str">
        <f t="shared" si="5"/>
        <v>T1</v>
      </c>
      <c r="E129" t="str">
        <f>INDEX(Productos!$B$2:$B$11,MATCH(Datos_Ventas!D129,Productos!$A$2:$A$11,0))</f>
        <v>Galletas Perro</v>
      </c>
      <c r="F129" t="str">
        <f>INDEX(Productos!$C$2:$C$11,MATCH(Datos_Ventas!D129,Productos!$A$2:$A$11,0))</f>
        <v>Snacks</v>
      </c>
      <c r="G129" t="str">
        <f>INDEX(Clientes!$B$2:$B$11,MATCH(Datos_Ventas!C129,Clientes!$A$2:$A$11,0))</f>
        <v>Despensa Vero</v>
      </c>
      <c r="H129" t="str">
        <f>INDEX(Clientes!$C$2:$C$11,MATCH(Datos_Ventas!C129,Clientes!$A$2:$A$11,0))</f>
        <v>Minorista</v>
      </c>
      <c r="I129" t="str">
        <f>INDEX(Clientes!$D$2:$D$11,MATCH(Datos_Ventas!C129,Clientes!$A$2:$A$11,0))</f>
        <v>Mendoza</v>
      </c>
      <c r="J129">
        <f>Datos_Ventas!E129</f>
        <v>37</v>
      </c>
      <c r="K129" s="29">
        <f>Datos_Ventas!F129</f>
        <v>2740</v>
      </c>
      <c r="L129" s="29">
        <f>Datos_Ventas!G129</f>
        <v>101380</v>
      </c>
      <c r="M129" s="29">
        <f>J129*INDEX(Productos!$D$2:$D$11,MATCH(Datos_Ventas!D129,Productos!$A$2:$A$11,0))</f>
        <v>55500</v>
      </c>
      <c r="N129" s="29">
        <f t="shared" si="6"/>
        <v>45880</v>
      </c>
      <c r="O129" s="30">
        <f>K129/INDEX(Productos!$E$2:$E$11,MATCH(Datos_Ventas!D129,Productos!$A$2:$A$11,0))-1</f>
        <v>1.4814814814814836E-2</v>
      </c>
      <c r="P129">
        <f t="shared" si="7"/>
        <v>1</v>
      </c>
    </row>
    <row r="130" spans="1:16" x14ac:dyDescent="0.2">
      <c r="A130">
        <f>Datos_Ventas!A130</f>
        <v>134</v>
      </c>
      <c r="B130" s="13">
        <f>Datos_Ventas!B130</f>
        <v>46106</v>
      </c>
      <c r="C130" t="str">
        <f t="shared" ref="C130:C193" si="8">CHOOSE(MONTH(B130),"01 Ene","02 Feb","03 Mar","04 Abr","05 May","06 Jun","07 Jul","08 Ago","09 Sep","10 Oct","11 Nov","12 Dic")</f>
        <v>03 Mar</v>
      </c>
      <c r="D130" t="str">
        <f t="shared" ref="D130:D193" si="9">"T"&amp;ROUNDUP(MONTH(B130)/3,0)</f>
        <v>T1</v>
      </c>
      <c r="E130" t="str">
        <f>INDEX(Productos!$B$2:$B$11,MATCH(Datos_Ventas!D130,Productos!$A$2:$A$11,0))</f>
        <v>Juguete Pelota</v>
      </c>
      <c r="F130" t="str">
        <f>INDEX(Productos!$C$2:$C$11,MATCH(Datos_Ventas!D130,Productos!$A$2:$A$11,0))</f>
        <v>Accesorios</v>
      </c>
      <c r="G130" t="str">
        <f>INDEX(Clientes!$B$2:$B$11,MATCH(Datos_Ventas!C130,Clientes!$A$2:$A$11,0))</f>
        <v>Autoservicio Norte</v>
      </c>
      <c r="H130" t="str">
        <f>INDEX(Clientes!$C$2:$C$11,MATCH(Datos_Ventas!C130,Clientes!$A$2:$A$11,0))</f>
        <v>Retail</v>
      </c>
      <c r="I130" t="str">
        <f>INDEX(Clientes!$D$2:$D$11,MATCH(Datos_Ventas!C130,Clientes!$A$2:$A$11,0))</f>
        <v>Las Heras</v>
      </c>
      <c r="J130">
        <f>Datos_Ventas!E130</f>
        <v>32</v>
      </c>
      <c r="K130" s="29">
        <f>Datos_Ventas!F130</f>
        <v>1900</v>
      </c>
      <c r="L130" s="29">
        <f>Datos_Ventas!G130</f>
        <v>60800</v>
      </c>
      <c r="M130" s="29">
        <f>J130*INDEX(Productos!$D$2:$D$11,MATCH(Datos_Ventas!D130,Productos!$A$2:$A$11,0))</f>
        <v>28800</v>
      </c>
      <c r="N130" s="29">
        <f t="shared" ref="N130:N193" si="10">L130-M130</f>
        <v>32000</v>
      </c>
      <c r="O130" s="30">
        <f>K130/INDEX(Productos!$E$2:$E$11,MATCH(Datos_Ventas!D130,Productos!$A$2:$A$11,0))-1</f>
        <v>5.555555555555558E-2</v>
      </c>
      <c r="P130">
        <f t="shared" ref="P130:P193" si="11">SUBTOTAL(103,A130)</f>
        <v>1</v>
      </c>
    </row>
    <row r="131" spans="1:16" x14ac:dyDescent="0.2">
      <c r="A131">
        <f>Datos_Ventas!A131</f>
        <v>135</v>
      </c>
      <c r="B131" s="13">
        <f>Datos_Ventas!B131</f>
        <v>46108</v>
      </c>
      <c r="C131" t="str">
        <f t="shared" si="8"/>
        <v>03 Mar</v>
      </c>
      <c r="D131" t="str">
        <f t="shared" si="9"/>
        <v>T1</v>
      </c>
      <c r="E131" t="str">
        <f>INDEX(Productos!$B$2:$B$11,MATCH(Datos_Ventas!D131,Productos!$A$2:$A$11,0))</f>
        <v>Snack Dental</v>
      </c>
      <c r="F131" t="str">
        <f>INDEX(Productos!$C$2:$C$11,MATCH(Datos_Ventas!D131,Productos!$A$2:$A$11,0))</f>
        <v>Snacks</v>
      </c>
      <c r="G131" t="str">
        <f>INDEX(Clientes!$B$2:$B$11,MATCH(Datos_Ventas!C131,Clientes!$A$2:$A$11,0))</f>
        <v>Mayorista del Sol</v>
      </c>
      <c r="H131" t="str">
        <f>INDEX(Clientes!$C$2:$C$11,MATCH(Datos_Ventas!C131,Clientes!$A$2:$A$11,0))</f>
        <v>Mayorista</v>
      </c>
      <c r="I131" t="str">
        <f>INDEX(Clientes!$D$2:$D$11,MATCH(Datos_Ventas!C131,Clientes!$A$2:$A$11,0))</f>
        <v>San Martín</v>
      </c>
      <c r="J131">
        <f>Datos_Ventas!E131</f>
        <v>20</v>
      </c>
      <c r="K131" s="29">
        <f>Datos_Ventas!F131</f>
        <v>3340</v>
      </c>
      <c r="L131" s="29">
        <f>Datos_Ventas!G131</f>
        <v>66800</v>
      </c>
      <c r="M131" s="29">
        <f>J131*INDEX(Productos!$D$2:$D$11,MATCH(Datos_Ventas!D131,Productos!$A$2:$A$11,0))</f>
        <v>36000</v>
      </c>
      <c r="N131" s="29">
        <f t="shared" si="10"/>
        <v>30800</v>
      </c>
      <c r="O131" s="30">
        <f>K131/INDEX(Productos!$E$2:$E$11,MATCH(Datos_Ventas!D131,Productos!$A$2:$A$11,0))-1</f>
        <v>4.3749999999999956E-2</v>
      </c>
      <c r="P131">
        <f t="shared" si="11"/>
        <v>1</v>
      </c>
    </row>
    <row r="132" spans="1:16" x14ac:dyDescent="0.2">
      <c r="A132">
        <f>Datos_Ventas!A132</f>
        <v>136</v>
      </c>
      <c r="B132" s="13">
        <f>Datos_Ventas!B132</f>
        <v>46109</v>
      </c>
      <c r="C132" t="str">
        <f t="shared" si="8"/>
        <v>03 Mar</v>
      </c>
      <c r="D132" t="str">
        <f t="shared" si="9"/>
        <v>T1</v>
      </c>
      <c r="E132" t="str">
        <f>INDEX(Productos!$B$2:$B$11,MATCH(Datos_Ventas!D132,Productos!$A$2:$A$11,0))</f>
        <v>Correa Reforzada</v>
      </c>
      <c r="F132" t="str">
        <f>INDEX(Productos!$C$2:$C$11,MATCH(Datos_Ventas!D132,Productos!$A$2:$A$11,0))</f>
        <v>Accesorios</v>
      </c>
      <c r="G132" t="str">
        <f>INDEX(Clientes!$B$2:$B$11,MATCH(Datos_Ventas!C132,Clientes!$A$2:$A$11,0))</f>
        <v>Pet Shop Mascotas</v>
      </c>
      <c r="H132" t="str">
        <f>INDEX(Clientes!$C$2:$C$11,MATCH(Datos_Ventas!C132,Clientes!$A$2:$A$11,0))</f>
        <v>Especializado</v>
      </c>
      <c r="I132" t="str">
        <f>INDEX(Clientes!$D$2:$D$11,MATCH(Datos_Ventas!C132,Clientes!$A$2:$A$11,0))</f>
        <v>Mendoza</v>
      </c>
      <c r="J132">
        <f>Datos_Ventas!E132</f>
        <v>32</v>
      </c>
      <c r="K132" s="29">
        <f>Datos_Ventas!F132</f>
        <v>5350</v>
      </c>
      <c r="L132" s="29">
        <f>Datos_Ventas!G132</f>
        <v>171200</v>
      </c>
      <c r="M132" s="29">
        <f>J132*INDEX(Productos!$D$2:$D$11,MATCH(Datos_Ventas!D132,Productos!$A$2:$A$11,0))</f>
        <v>89600</v>
      </c>
      <c r="N132" s="29">
        <f t="shared" si="10"/>
        <v>81600</v>
      </c>
      <c r="O132" s="30">
        <f>K132/INDEX(Productos!$E$2:$E$11,MATCH(Datos_Ventas!D132,Productos!$A$2:$A$11,0))-1</f>
        <v>2.8846153846153744E-2</v>
      </c>
      <c r="P132">
        <f t="shared" si="11"/>
        <v>1</v>
      </c>
    </row>
    <row r="133" spans="1:16" x14ac:dyDescent="0.2">
      <c r="A133">
        <f>Datos_Ventas!A133</f>
        <v>137</v>
      </c>
      <c r="B133" s="13">
        <f>Datos_Ventas!B133</f>
        <v>46109</v>
      </c>
      <c r="C133" t="str">
        <f t="shared" si="8"/>
        <v>03 Mar</v>
      </c>
      <c r="D133" t="str">
        <f t="shared" si="9"/>
        <v>T1</v>
      </c>
      <c r="E133" t="str">
        <f>INDEX(Productos!$B$2:$B$11,MATCH(Datos_Ventas!D133,Productos!$A$2:$A$11,0))</f>
        <v>Arena Sanitaria</v>
      </c>
      <c r="F133" t="str">
        <f>INDEX(Productos!$C$2:$C$11,MATCH(Datos_Ventas!D133,Productos!$A$2:$A$11,0))</f>
        <v>Higiene</v>
      </c>
      <c r="G133" t="str">
        <f>INDEX(Clientes!$B$2:$B$11,MATCH(Datos_Ventas!C133,Clientes!$A$2:$A$11,0))</f>
        <v>Supermercado Cuyo</v>
      </c>
      <c r="H133" t="str">
        <f>INDEX(Clientes!$C$2:$C$11,MATCH(Datos_Ventas!C133,Clientes!$A$2:$A$11,0))</f>
        <v>Retail</v>
      </c>
      <c r="I133" t="str">
        <f>INDEX(Clientes!$D$2:$D$11,MATCH(Datos_Ventas!C133,Clientes!$A$2:$A$11,0))</f>
        <v>Guaymallén</v>
      </c>
      <c r="J133">
        <f>Datos_Ventas!E133</f>
        <v>32</v>
      </c>
      <c r="K133" s="29">
        <f>Datos_Ventas!F133</f>
        <v>4520</v>
      </c>
      <c r="L133" s="29">
        <f>Datos_Ventas!G133</f>
        <v>144640</v>
      </c>
      <c r="M133" s="29">
        <f>J133*INDEX(Productos!$D$2:$D$11,MATCH(Datos_Ventas!D133,Productos!$A$2:$A$11,0))</f>
        <v>83200</v>
      </c>
      <c r="N133" s="29">
        <f t="shared" si="10"/>
        <v>61440</v>
      </c>
      <c r="O133" s="30">
        <f>K133/INDEX(Productos!$E$2:$E$11,MATCH(Datos_Ventas!D133,Productos!$A$2:$A$11,0))-1</f>
        <v>2.7272727272727337E-2</v>
      </c>
      <c r="P133">
        <f t="shared" si="11"/>
        <v>1</v>
      </c>
    </row>
    <row r="134" spans="1:16" x14ac:dyDescent="0.2">
      <c r="A134">
        <f>Datos_Ventas!A134</f>
        <v>138</v>
      </c>
      <c r="B134" s="13">
        <f>Datos_Ventas!B134</f>
        <v>46109</v>
      </c>
      <c r="C134" t="str">
        <f t="shared" si="8"/>
        <v>03 Mar</v>
      </c>
      <c r="D134" t="str">
        <f t="shared" si="9"/>
        <v>T1</v>
      </c>
      <c r="E134" t="str">
        <f>INDEX(Productos!$B$2:$B$11,MATCH(Datos_Ventas!D134,Productos!$A$2:$A$11,0))</f>
        <v>Alimento Premium 10kg</v>
      </c>
      <c r="F134" t="str">
        <f>INDEX(Productos!$C$2:$C$11,MATCH(Datos_Ventas!D134,Productos!$A$2:$A$11,0))</f>
        <v>Alimentos</v>
      </c>
      <c r="G134" t="str">
        <f>INDEX(Clientes!$B$2:$B$11,MATCH(Datos_Ventas!C134,Clientes!$A$2:$A$11,0))</f>
        <v>Despensa Vero</v>
      </c>
      <c r="H134" t="str">
        <f>INDEX(Clientes!$C$2:$C$11,MATCH(Datos_Ventas!C134,Clientes!$A$2:$A$11,0))</f>
        <v>Minorista</v>
      </c>
      <c r="I134" t="str">
        <f>INDEX(Clientes!$D$2:$D$11,MATCH(Datos_Ventas!C134,Clientes!$A$2:$A$11,0))</f>
        <v>Mendoza</v>
      </c>
      <c r="J134">
        <f>Datos_Ventas!E134</f>
        <v>19</v>
      </c>
      <c r="K134" s="29">
        <f>Datos_Ventas!F134</f>
        <v>20110</v>
      </c>
      <c r="L134" s="29">
        <f>Datos_Ventas!G134</f>
        <v>382090</v>
      </c>
      <c r="M134" s="29">
        <f>J134*INDEX(Productos!$D$2:$D$11,MATCH(Datos_Ventas!D134,Productos!$A$2:$A$11,0))</f>
        <v>237500</v>
      </c>
      <c r="N134" s="29">
        <f t="shared" si="10"/>
        <v>144590</v>
      </c>
      <c r="O134" s="30">
        <f>K134/INDEX(Productos!$E$2:$E$11,MATCH(Datos_Ventas!D134,Productos!$A$2:$A$11,0))-1</f>
        <v>6.402116402116409E-2</v>
      </c>
      <c r="P134">
        <f t="shared" si="11"/>
        <v>1</v>
      </c>
    </row>
    <row r="135" spans="1:16" x14ac:dyDescent="0.2">
      <c r="A135">
        <f>Datos_Ventas!A135</f>
        <v>139</v>
      </c>
      <c r="B135" s="13">
        <f>Datos_Ventas!B135</f>
        <v>46109</v>
      </c>
      <c r="C135" t="str">
        <f t="shared" si="8"/>
        <v>03 Mar</v>
      </c>
      <c r="D135" t="str">
        <f t="shared" si="9"/>
        <v>T1</v>
      </c>
      <c r="E135" t="str">
        <f>INDEX(Productos!$B$2:$B$11,MATCH(Datos_Ventas!D135,Productos!$A$2:$A$11,0))</f>
        <v>Juguete Pelota</v>
      </c>
      <c r="F135" t="str">
        <f>INDEX(Productos!$C$2:$C$11,MATCH(Datos_Ventas!D135,Productos!$A$2:$A$11,0))</f>
        <v>Accesorios</v>
      </c>
      <c r="G135" t="str">
        <f>INDEX(Clientes!$B$2:$B$11,MATCH(Datos_Ventas!C135,Clientes!$A$2:$A$11,0))</f>
        <v>Despensa Vero</v>
      </c>
      <c r="H135" t="str">
        <f>INDEX(Clientes!$C$2:$C$11,MATCH(Datos_Ventas!C135,Clientes!$A$2:$A$11,0))</f>
        <v>Minorista</v>
      </c>
      <c r="I135" t="str">
        <f>INDEX(Clientes!$D$2:$D$11,MATCH(Datos_Ventas!C135,Clientes!$A$2:$A$11,0))</f>
        <v>Mendoza</v>
      </c>
      <c r="J135">
        <f>Datos_Ventas!E135</f>
        <v>17</v>
      </c>
      <c r="K135" s="29">
        <f>Datos_Ventas!F135</f>
        <v>1890</v>
      </c>
      <c r="L135" s="29">
        <f>Datos_Ventas!G135</f>
        <v>32130</v>
      </c>
      <c r="M135" s="29">
        <f>J135*INDEX(Productos!$D$2:$D$11,MATCH(Datos_Ventas!D135,Productos!$A$2:$A$11,0))</f>
        <v>15300</v>
      </c>
      <c r="N135" s="29">
        <f t="shared" si="10"/>
        <v>16830</v>
      </c>
      <c r="O135" s="30">
        <f>K135/INDEX(Productos!$E$2:$E$11,MATCH(Datos_Ventas!D135,Productos!$A$2:$A$11,0))-1</f>
        <v>5.0000000000000044E-2</v>
      </c>
      <c r="P135">
        <f t="shared" si="11"/>
        <v>1</v>
      </c>
    </row>
    <row r="136" spans="1:16" x14ac:dyDescent="0.2">
      <c r="A136">
        <f>Datos_Ventas!A136</f>
        <v>140</v>
      </c>
      <c r="B136" s="13">
        <f>Datos_Ventas!B136</f>
        <v>46110</v>
      </c>
      <c r="C136" t="str">
        <f t="shared" si="8"/>
        <v>03 Mar</v>
      </c>
      <c r="D136" t="str">
        <f t="shared" si="9"/>
        <v>T1</v>
      </c>
      <c r="E136" t="str">
        <f>INDEX(Productos!$B$2:$B$11,MATCH(Datos_Ventas!D136,Productos!$A$2:$A$11,0))</f>
        <v>Alimento Balanceado 15kg</v>
      </c>
      <c r="F136" t="str">
        <f>INDEX(Productos!$C$2:$C$11,MATCH(Datos_Ventas!D136,Productos!$A$2:$A$11,0))</f>
        <v>Alimentos</v>
      </c>
      <c r="G136" t="str">
        <f>INDEX(Clientes!$B$2:$B$11,MATCH(Datos_Ventas!C136,Clientes!$A$2:$A$11,0))</f>
        <v>Autoservicio Norte</v>
      </c>
      <c r="H136" t="str">
        <f>INDEX(Clientes!$C$2:$C$11,MATCH(Datos_Ventas!C136,Clientes!$A$2:$A$11,0))</f>
        <v>Retail</v>
      </c>
      <c r="I136" t="str">
        <f>INDEX(Clientes!$D$2:$D$11,MATCH(Datos_Ventas!C136,Clientes!$A$2:$A$11,0))</f>
        <v>Las Heras</v>
      </c>
      <c r="J136">
        <f>Datos_Ventas!E136</f>
        <v>11</v>
      </c>
      <c r="K136" s="29">
        <f>Datos_Ventas!F136</f>
        <v>14570</v>
      </c>
      <c r="L136" s="29">
        <f>Datos_Ventas!G136</f>
        <v>160270</v>
      </c>
      <c r="M136" s="29">
        <f>J136*INDEX(Productos!$D$2:$D$11,MATCH(Datos_Ventas!D136,Productos!$A$2:$A$11,0))</f>
        <v>107800</v>
      </c>
      <c r="N136" s="29">
        <f t="shared" si="10"/>
        <v>52470</v>
      </c>
      <c r="O136" s="30">
        <f>K136/INDEX(Productos!$E$2:$E$11,MATCH(Datos_Ventas!D136,Productos!$A$2:$A$11,0))-1</f>
        <v>4.8275862068964948E-3</v>
      </c>
      <c r="P136">
        <f t="shared" si="11"/>
        <v>1</v>
      </c>
    </row>
    <row r="137" spans="1:16" x14ac:dyDescent="0.2">
      <c r="A137">
        <f>Datos_Ventas!A137</f>
        <v>141</v>
      </c>
      <c r="B137" s="13">
        <f>Datos_Ventas!B137</f>
        <v>46110</v>
      </c>
      <c r="C137" t="str">
        <f t="shared" si="8"/>
        <v>03 Mar</v>
      </c>
      <c r="D137" t="str">
        <f t="shared" si="9"/>
        <v>T1</v>
      </c>
      <c r="E137" t="str">
        <f>INDEX(Productos!$B$2:$B$11,MATCH(Datos_Ventas!D137,Productos!$A$2:$A$11,0))</f>
        <v>Galletas Perro</v>
      </c>
      <c r="F137" t="str">
        <f>INDEX(Productos!$C$2:$C$11,MATCH(Datos_Ventas!D137,Productos!$A$2:$A$11,0))</f>
        <v>Snacks</v>
      </c>
      <c r="G137" t="str">
        <f>INDEX(Clientes!$B$2:$B$11,MATCH(Datos_Ventas!C137,Clientes!$A$2:$A$11,0))</f>
        <v>Pet Shop Mascotas</v>
      </c>
      <c r="H137" t="str">
        <f>INDEX(Clientes!$C$2:$C$11,MATCH(Datos_Ventas!C137,Clientes!$A$2:$A$11,0))</f>
        <v>Especializado</v>
      </c>
      <c r="I137" t="str">
        <f>INDEX(Clientes!$D$2:$D$11,MATCH(Datos_Ventas!C137,Clientes!$A$2:$A$11,0))</f>
        <v>Mendoza</v>
      </c>
      <c r="J137">
        <f>Datos_Ventas!E137</f>
        <v>26</v>
      </c>
      <c r="K137" s="29">
        <f>Datos_Ventas!F137</f>
        <v>2760</v>
      </c>
      <c r="L137" s="29">
        <f>Datos_Ventas!G137</f>
        <v>71760</v>
      </c>
      <c r="M137" s="29">
        <f>J137*INDEX(Productos!$D$2:$D$11,MATCH(Datos_Ventas!D137,Productos!$A$2:$A$11,0))</f>
        <v>39000</v>
      </c>
      <c r="N137" s="29">
        <f t="shared" si="10"/>
        <v>32760</v>
      </c>
      <c r="O137" s="30">
        <f>K137/INDEX(Productos!$E$2:$E$11,MATCH(Datos_Ventas!D137,Productos!$A$2:$A$11,0))-1</f>
        <v>2.2222222222222143E-2</v>
      </c>
      <c r="P137">
        <f t="shared" si="11"/>
        <v>1</v>
      </c>
    </row>
    <row r="138" spans="1:16" x14ac:dyDescent="0.2">
      <c r="A138">
        <f>Datos_Ventas!A138</f>
        <v>142</v>
      </c>
      <c r="B138" s="13">
        <f>Datos_Ventas!B138</f>
        <v>46111</v>
      </c>
      <c r="C138" t="str">
        <f t="shared" si="8"/>
        <v>03 Mar</v>
      </c>
      <c r="D138" t="str">
        <f t="shared" si="9"/>
        <v>T1</v>
      </c>
      <c r="E138" t="str">
        <f>INDEX(Productos!$B$2:$B$11,MATCH(Datos_Ventas!D138,Productos!$A$2:$A$11,0))</f>
        <v>Galletas Perro</v>
      </c>
      <c r="F138" t="str">
        <f>INDEX(Productos!$C$2:$C$11,MATCH(Datos_Ventas!D138,Productos!$A$2:$A$11,0))</f>
        <v>Snacks</v>
      </c>
      <c r="G138" t="str">
        <f>INDEX(Clientes!$B$2:$B$11,MATCH(Datos_Ventas!C138,Clientes!$A$2:$A$11,0))</f>
        <v>Distribuidora Andes</v>
      </c>
      <c r="H138" t="str">
        <f>INDEX(Clientes!$C$2:$C$11,MATCH(Datos_Ventas!C138,Clientes!$A$2:$A$11,0))</f>
        <v>Mayorista</v>
      </c>
      <c r="I138" t="str">
        <f>INDEX(Clientes!$D$2:$D$11,MATCH(Datos_Ventas!C138,Clientes!$A$2:$A$11,0))</f>
        <v>Mendoza</v>
      </c>
      <c r="J138">
        <f>Datos_Ventas!E138</f>
        <v>28</v>
      </c>
      <c r="K138" s="29">
        <f>Datos_Ventas!F138</f>
        <v>2700</v>
      </c>
      <c r="L138" s="29">
        <f>Datos_Ventas!G138</f>
        <v>75600</v>
      </c>
      <c r="M138" s="29">
        <f>J138*INDEX(Productos!$D$2:$D$11,MATCH(Datos_Ventas!D138,Productos!$A$2:$A$11,0))</f>
        <v>42000</v>
      </c>
      <c r="N138" s="29">
        <f t="shared" si="10"/>
        <v>33600</v>
      </c>
      <c r="O138" s="30">
        <f>K138/INDEX(Productos!$E$2:$E$11,MATCH(Datos_Ventas!D138,Productos!$A$2:$A$11,0))-1</f>
        <v>0</v>
      </c>
      <c r="P138">
        <f t="shared" si="11"/>
        <v>1</v>
      </c>
    </row>
    <row r="139" spans="1:16" x14ac:dyDescent="0.2">
      <c r="A139">
        <f>Datos_Ventas!A139</f>
        <v>143</v>
      </c>
      <c r="B139" s="13">
        <f>Datos_Ventas!B139</f>
        <v>46113</v>
      </c>
      <c r="C139" t="str">
        <f t="shared" si="8"/>
        <v>04 Abr</v>
      </c>
      <c r="D139" t="str">
        <f t="shared" si="9"/>
        <v>T2</v>
      </c>
      <c r="E139" t="str">
        <f>INDEX(Productos!$B$2:$B$11,MATCH(Datos_Ventas!D139,Productos!$A$2:$A$11,0))</f>
        <v>Arena Sanitaria</v>
      </c>
      <c r="F139" t="str">
        <f>INDEX(Productos!$C$2:$C$11,MATCH(Datos_Ventas!D139,Productos!$A$2:$A$11,0))</f>
        <v>Higiene</v>
      </c>
      <c r="G139" t="str">
        <f>INDEX(Clientes!$B$2:$B$11,MATCH(Datos_Ventas!C139,Clientes!$A$2:$A$11,0))</f>
        <v>Distribuidora Andes</v>
      </c>
      <c r="H139" t="str">
        <f>INDEX(Clientes!$C$2:$C$11,MATCH(Datos_Ventas!C139,Clientes!$A$2:$A$11,0))</f>
        <v>Mayorista</v>
      </c>
      <c r="I139" t="str">
        <f>INDEX(Clientes!$D$2:$D$11,MATCH(Datos_Ventas!C139,Clientes!$A$2:$A$11,0))</f>
        <v>Mendoza</v>
      </c>
      <c r="J139">
        <f>Datos_Ventas!E139</f>
        <v>2</v>
      </c>
      <c r="K139" s="29">
        <f>Datos_Ventas!F139</f>
        <v>4710</v>
      </c>
      <c r="L139" s="29">
        <f>Datos_Ventas!G139</f>
        <v>9420</v>
      </c>
      <c r="M139" s="29">
        <f>J139*INDEX(Productos!$D$2:$D$11,MATCH(Datos_Ventas!D139,Productos!$A$2:$A$11,0))</f>
        <v>5200</v>
      </c>
      <c r="N139" s="29">
        <f t="shared" si="10"/>
        <v>4220</v>
      </c>
      <c r="O139" s="30">
        <f>K139/INDEX(Productos!$E$2:$E$11,MATCH(Datos_Ventas!D139,Productos!$A$2:$A$11,0))-1</f>
        <v>7.0454545454545547E-2</v>
      </c>
      <c r="P139">
        <f t="shared" si="11"/>
        <v>1</v>
      </c>
    </row>
    <row r="140" spans="1:16" x14ac:dyDescent="0.2">
      <c r="A140">
        <f>Datos_Ventas!A140</f>
        <v>144</v>
      </c>
      <c r="B140" s="13">
        <f>Datos_Ventas!B140</f>
        <v>46113</v>
      </c>
      <c r="C140" t="str">
        <f t="shared" si="8"/>
        <v>04 Abr</v>
      </c>
      <c r="D140" t="str">
        <f t="shared" si="9"/>
        <v>T2</v>
      </c>
      <c r="E140" t="str">
        <f>INDEX(Productos!$B$2:$B$11,MATCH(Datos_Ventas!D140,Productos!$A$2:$A$11,0))</f>
        <v>Snack Dental</v>
      </c>
      <c r="F140" t="str">
        <f>INDEX(Productos!$C$2:$C$11,MATCH(Datos_Ventas!D140,Productos!$A$2:$A$11,0))</f>
        <v>Snacks</v>
      </c>
      <c r="G140" t="str">
        <f>INDEX(Clientes!$B$2:$B$11,MATCH(Datos_Ventas!C140,Clientes!$A$2:$A$11,0))</f>
        <v>Veterinaria Sur</v>
      </c>
      <c r="H140" t="str">
        <f>INDEX(Clientes!$C$2:$C$11,MATCH(Datos_Ventas!C140,Clientes!$A$2:$A$11,0))</f>
        <v>Especializado</v>
      </c>
      <c r="I140" t="str">
        <f>INDEX(Clientes!$D$2:$D$11,MATCH(Datos_Ventas!C140,Clientes!$A$2:$A$11,0))</f>
        <v>Godoy Cruz</v>
      </c>
      <c r="J140">
        <f>Datos_Ventas!E140</f>
        <v>37</v>
      </c>
      <c r="K140" s="29">
        <f>Datos_Ventas!F140</f>
        <v>2970</v>
      </c>
      <c r="L140" s="29">
        <f>Datos_Ventas!G140</f>
        <v>109890</v>
      </c>
      <c r="M140" s="29">
        <f>J140*INDEX(Productos!$D$2:$D$11,MATCH(Datos_Ventas!D140,Productos!$A$2:$A$11,0))</f>
        <v>66600</v>
      </c>
      <c r="N140" s="29">
        <f t="shared" si="10"/>
        <v>43290</v>
      </c>
      <c r="O140" s="30">
        <f>K140/INDEX(Productos!$E$2:$E$11,MATCH(Datos_Ventas!D140,Productos!$A$2:$A$11,0))-1</f>
        <v>-7.1875000000000022E-2</v>
      </c>
      <c r="P140">
        <f t="shared" si="11"/>
        <v>1</v>
      </c>
    </row>
    <row r="141" spans="1:16" x14ac:dyDescent="0.2">
      <c r="A141">
        <f>Datos_Ventas!A141</f>
        <v>145</v>
      </c>
      <c r="B141" s="13">
        <f>Datos_Ventas!B141</f>
        <v>46115</v>
      </c>
      <c r="C141" t="str">
        <f t="shared" si="8"/>
        <v>04 Abr</v>
      </c>
      <c r="D141" t="str">
        <f t="shared" si="9"/>
        <v>T2</v>
      </c>
      <c r="E141" t="str">
        <f>INDEX(Productos!$B$2:$B$11,MATCH(Datos_Ventas!D141,Productos!$A$2:$A$11,0))</f>
        <v>Galletas Perro</v>
      </c>
      <c r="F141" t="str">
        <f>INDEX(Productos!$C$2:$C$11,MATCH(Datos_Ventas!D141,Productos!$A$2:$A$11,0))</f>
        <v>Snacks</v>
      </c>
      <c r="G141" t="str">
        <f>INDEX(Clientes!$B$2:$B$11,MATCH(Datos_Ventas!C141,Clientes!$A$2:$A$11,0))</f>
        <v>Veterinaria Sur</v>
      </c>
      <c r="H141" t="str">
        <f>INDEX(Clientes!$C$2:$C$11,MATCH(Datos_Ventas!C141,Clientes!$A$2:$A$11,0))</f>
        <v>Especializado</v>
      </c>
      <c r="I141" t="str">
        <f>INDEX(Clientes!$D$2:$D$11,MATCH(Datos_Ventas!C141,Clientes!$A$2:$A$11,0))</f>
        <v>Godoy Cruz</v>
      </c>
      <c r="J141">
        <f>Datos_Ventas!E141</f>
        <v>8</v>
      </c>
      <c r="K141" s="29">
        <f>Datos_Ventas!F141</f>
        <v>2810</v>
      </c>
      <c r="L141" s="29">
        <f>Datos_Ventas!G141</f>
        <v>22480</v>
      </c>
      <c r="M141" s="29">
        <f>J141*INDEX(Productos!$D$2:$D$11,MATCH(Datos_Ventas!D141,Productos!$A$2:$A$11,0))</f>
        <v>12000</v>
      </c>
      <c r="N141" s="29">
        <f t="shared" si="10"/>
        <v>10480</v>
      </c>
      <c r="O141" s="30">
        <f>K141/INDEX(Productos!$E$2:$E$11,MATCH(Datos_Ventas!D141,Productos!$A$2:$A$11,0))-1</f>
        <v>4.0740740740740744E-2</v>
      </c>
      <c r="P141">
        <f t="shared" si="11"/>
        <v>1</v>
      </c>
    </row>
    <row r="142" spans="1:16" x14ac:dyDescent="0.2">
      <c r="A142">
        <f>Datos_Ventas!A142</f>
        <v>146</v>
      </c>
      <c r="B142" s="13">
        <f>Datos_Ventas!B142</f>
        <v>46115</v>
      </c>
      <c r="C142" t="str">
        <f t="shared" si="8"/>
        <v>04 Abr</v>
      </c>
      <c r="D142" t="str">
        <f t="shared" si="9"/>
        <v>T2</v>
      </c>
      <c r="E142" t="str">
        <f>INDEX(Productos!$B$2:$B$11,MATCH(Datos_Ventas!D142,Productos!$A$2:$A$11,0))</f>
        <v>Snack Dental</v>
      </c>
      <c r="F142" t="str">
        <f>INDEX(Productos!$C$2:$C$11,MATCH(Datos_Ventas!D142,Productos!$A$2:$A$11,0))</f>
        <v>Snacks</v>
      </c>
      <c r="G142" t="str">
        <f>INDEX(Clientes!$B$2:$B$11,MATCH(Datos_Ventas!C142,Clientes!$A$2:$A$11,0))</f>
        <v>Almacén Don Pedro</v>
      </c>
      <c r="H142" t="str">
        <f>INDEX(Clientes!$C$2:$C$11,MATCH(Datos_Ventas!C142,Clientes!$A$2:$A$11,0))</f>
        <v>Minorista</v>
      </c>
      <c r="I142" t="str">
        <f>INDEX(Clientes!$D$2:$D$11,MATCH(Datos_Ventas!C142,Clientes!$A$2:$A$11,0))</f>
        <v>Maipú</v>
      </c>
      <c r="J142">
        <f>Datos_Ventas!E142</f>
        <v>3</v>
      </c>
      <c r="K142" s="29">
        <f>Datos_Ventas!F142</f>
        <v>3440</v>
      </c>
      <c r="L142" s="29">
        <f>Datos_Ventas!G142</f>
        <v>10320</v>
      </c>
      <c r="M142" s="29">
        <f>J142*INDEX(Productos!$D$2:$D$11,MATCH(Datos_Ventas!D142,Productos!$A$2:$A$11,0))</f>
        <v>5400</v>
      </c>
      <c r="N142" s="29">
        <f t="shared" si="10"/>
        <v>4920</v>
      </c>
      <c r="O142" s="30">
        <f>K142/INDEX(Productos!$E$2:$E$11,MATCH(Datos_Ventas!D142,Productos!$A$2:$A$11,0))-1</f>
        <v>7.4999999999999956E-2</v>
      </c>
      <c r="P142">
        <f t="shared" si="11"/>
        <v>1</v>
      </c>
    </row>
    <row r="143" spans="1:16" x14ac:dyDescent="0.2">
      <c r="A143">
        <f>Datos_Ventas!A143</f>
        <v>147</v>
      </c>
      <c r="B143" s="13">
        <f>Datos_Ventas!B143</f>
        <v>46115</v>
      </c>
      <c r="C143" t="str">
        <f t="shared" si="8"/>
        <v>04 Abr</v>
      </c>
      <c r="D143" t="str">
        <f t="shared" si="9"/>
        <v>T2</v>
      </c>
      <c r="E143" t="str">
        <f>INDEX(Productos!$B$2:$B$11,MATCH(Datos_Ventas!D143,Productos!$A$2:$A$11,0))</f>
        <v>Galletas Perro</v>
      </c>
      <c r="F143" t="str">
        <f>INDEX(Productos!$C$2:$C$11,MATCH(Datos_Ventas!D143,Productos!$A$2:$A$11,0))</f>
        <v>Snacks</v>
      </c>
      <c r="G143" t="str">
        <f>INDEX(Clientes!$B$2:$B$11,MATCH(Datos_Ventas!C143,Clientes!$A$2:$A$11,0))</f>
        <v>Autoservicio Norte</v>
      </c>
      <c r="H143" t="str">
        <f>INDEX(Clientes!$C$2:$C$11,MATCH(Datos_Ventas!C143,Clientes!$A$2:$A$11,0))</f>
        <v>Retail</v>
      </c>
      <c r="I143" t="str">
        <f>INDEX(Clientes!$D$2:$D$11,MATCH(Datos_Ventas!C143,Clientes!$A$2:$A$11,0))</f>
        <v>Las Heras</v>
      </c>
      <c r="J143">
        <f>Datos_Ventas!E143</f>
        <v>36</v>
      </c>
      <c r="K143" s="29">
        <f>Datos_Ventas!F143</f>
        <v>2490</v>
      </c>
      <c r="L143" s="29">
        <f>Datos_Ventas!G143</f>
        <v>89640</v>
      </c>
      <c r="M143" s="29">
        <f>J143*INDEX(Productos!$D$2:$D$11,MATCH(Datos_Ventas!D143,Productos!$A$2:$A$11,0))</f>
        <v>54000</v>
      </c>
      <c r="N143" s="29">
        <f t="shared" si="10"/>
        <v>35640</v>
      </c>
      <c r="O143" s="30">
        <f>K143/INDEX(Productos!$E$2:$E$11,MATCH(Datos_Ventas!D143,Productos!$A$2:$A$11,0))-1</f>
        <v>-7.7777777777777724E-2</v>
      </c>
      <c r="P143">
        <f t="shared" si="11"/>
        <v>1</v>
      </c>
    </row>
    <row r="144" spans="1:16" x14ac:dyDescent="0.2">
      <c r="A144">
        <f>Datos_Ventas!A144</f>
        <v>148</v>
      </c>
      <c r="B144" s="13">
        <f>Datos_Ventas!B144</f>
        <v>46115</v>
      </c>
      <c r="C144" t="str">
        <f t="shared" si="8"/>
        <v>04 Abr</v>
      </c>
      <c r="D144" t="str">
        <f t="shared" si="9"/>
        <v>T2</v>
      </c>
      <c r="E144" t="str">
        <f>INDEX(Productos!$B$2:$B$11,MATCH(Datos_Ventas!D144,Productos!$A$2:$A$11,0))</f>
        <v>Juguete Pelota</v>
      </c>
      <c r="F144" t="str">
        <f>INDEX(Productos!$C$2:$C$11,MATCH(Datos_Ventas!D144,Productos!$A$2:$A$11,0))</f>
        <v>Accesorios</v>
      </c>
      <c r="G144" t="str">
        <f>INDEX(Clientes!$B$2:$B$11,MATCH(Datos_Ventas!C144,Clientes!$A$2:$A$11,0))</f>
        <v>Hiper Centro</v>
      </c>
      <c r="H144" t="str">
        <f>INDEX(Clientes!$C$2:$C$11,MATCH(Datos_Ventas!C144,Clientes!$A$2:$A$11,0))</f>
        <v>Retail</v>
      </c>
      <c r="I144" t="str">
        <f>INDEX(Clientes!$D$2:$D$11,MATCH(Datos_Ventas!C144,Clientes!$A$2:$A$11,0))</f>
        <v>Luján de Cuyo</v>
      </c>
      <c r="J144">
        <f>Datos_Ventas!E144</f>
        <v>2</v>
      </c>
      <c r="K144" s="29">
        <f>Datos_Ventas!F144</f>
        <v>1710</v>
      </c>
      <c r="L144" s="29">
        <f>Datos_Ventas!G144</f>
        <v>3420</v>
      </c>
      <c r="M144" s="29">
        <f>J144*INDEX(Productos!$D$2:$D$11,MATCH(Datos_Ventas!D144,Productos!$A$2:$A$11,0))</f>
        <v>1800</v>
      </c>
      <c r="N144" s="29">
        <f t="shared" si="10"/>
        <v>1620</v>
      </c>
      <c r="O144" s="30">
        <f>K144/INDEX(Productos!$E$2:$E$11,MATCH(Datos_Ventas!D144,Productos!$A$2:$A$11,0))-1</f>
        <v>-5.0000000000000044E-2</v>
      </c>
      <c r="P144">
        <f t="shared" si="11"/>
        <v>1</v>
      </c>
    </row>
    <row r="145" spans="1:16" x14ac:dyDescent="0.2">
      <c r="A145">
        <f>Datos_Ventas!A145</f>
        <v>149</v>
      </c>
      <c r="B145" s="13">
        <f>Datos_Ventas!B145</f>
        <v>46117</v>
      </c>
      <c r="C145" t="str">
        <f t="shared" si="8"/>
        <v>04 Abr</v>
      </c>
      <c r="D145" t="str">
        <f t="shared" si="9"/>
        <v>T2</v>
      </c>
      <c r="E145" t="str">
        <f>INDEX(Productos!$B$2:$B$11,MATCH(Datos_Ventas!D145,Productos!$A$2:$A$11,0))</f>
        <v>Shampoo Mascotas</v>
      </c>
      <c r="F145" t="str">
        <f>INDEX(Productos!$C$2:$C$11,MATCH(Datos_Ventas!D145,Productos!$A$2:$A$11,0))</f>
        <v>Higiene</v>
      </c>
      <c r="G145" t="str">
        <f>INDEX(Clientes!$B$2:$B$11,MATCH(Datos_Ventas!C145,Clientes!$A$2:$A$11,0))</f>
        <v>Autoservicio Norte</v>
      </c>
      <c r="H145" t="str">
        <f>INDEX(Clientes!$C$2:$C$11,MATCH(Datos_Ventas!C145,Clientes!$A$2:$A$11,0))</f>
        <v>Retail</v>
      </c>
      <c r="I145" t="str">
        <f>INDEX(Clientes!$D$2:$D$11,MATCH(Datos_Ventas!C145,Clientes!$A$2:$A$11,0))</f>
        <v>Las Heras</v>
      </c>
      <c r="J145">
        <f>Datos_Ventas!E145</f>
        <v>19</v>
      </c>
      <c r="K145" s="29">
        <f>Datos_Ventas!F145</f>
        <v>3620</v>
      </c>
      <c r="L145" s="29">
        <f>Datos_Ventas!G145</f>
        <v>68780</v>
      </c>
      <c r="M145" s="29">
        <f>J145*INDEX(Productos!$D$2:$D$11,MATCH(Datos_Ventas!D145,Productos!$A$2:$A$11,0))</f>
        <v>41800</v>
      </c>
      <c r="N145" s="29">
        <f t="shared" si="10"/>
        <v>26980</v>
      </c>
      <c r="O145" s="30">
        <f>K145/INDEX(Productos!$E$2:$E$11,MATCH(Datos_Ventas!D145,Productos!$A$2:$A$11,0))-1</f>
        <v>-7.1794871794871762E-2</v>
      </c>
      <c r="P145">
        <f t="shared" si="11"/>
        <v>1</v>
      </c>
    </row>
    <row r="146" spans="1:16" x14ac:dyDescent="0.2">
      <c r="A146">
        <f>Datos_Ventas!A146</f>
        <v>151</v>
      </c>
      <c r="B146" s="13">
        <f>Datos_Ventas!B146</f>
        <v>46117</v>
      </c>
      <c r="C146" t="str">
        <f t="shared" si="8"/>
        <v>04 Abr</v>
      </c>
      <c r="D146" t="str">
        <f t="shared" si="9"/>
        <v>T2</v>
      </c>
      <c r="E146" t="str">
        <f>INDEX(Productos!$B$2:$B$11,MATCH(Datos_Ventas!D146,Productos!$A$2:$A$11,0))</f>
        <v>Collar Ajustable</v>
      </c>
      <c r="F146" t="str">
        <f>INDEX(Productos!$C$2:$C$11,MATCH(Datos_Ventas!D146,Productos!$A$2:$A$11,0))</f>
        <v>Accesorios</v>
      </c>
      <c r="G146" t="str">
        <f>INDEX(Clientes!$B$2:$B$11,MATCH(Datos_Ventas!C146,Clientes!$A$2:$A$11,0))</f>
        <v>Distribuidora Andes</v>
      </c>
      <c r="H146" t="str">
        <f>INDEX(Clientes!$C$2:$C$11,MATCH(Datos_Ventas!C146,Clientes!$A$2:$A$11,0))</f>
        <v>Mayorista</v>
      </c>
      <c r="I146" t="str">
        <f>INDEX(Clientes!$D$2:$D$11,MATCH(Datos_Ventas!C146,Clientes!$A$2:$A$11,0))</f>
        <v>Mendoza</v>
      </c>
      <c r="J146">
        <f>Datos_Ventas!E146</f>
        <v>28</v>
      </c>
      <c r="K146" s="29">
        <f>Datos_Ventas!F146</f>
        <v>3530</v>
      </c>
      <c r="L146" s="29">
        <f>Datos_Ventas!G146</f>
        <v>98840</v>
      </c>
      <c r="M146" s="29">
        <f>J146*INDEX(Productos!$D$2:$D$11,MATCH(Datos_Ventas!D146,Productos!$A$2:$A$11,0))</f>
        <v>53200</v>
      </c>
      <c r="N146" s="29">
        <f t="shared" si="10"/>
        <v>45640</v>
      </c>
      <c r="O146" s="30">
        <f>K146/INDEX(Productos!$E$2:$E$11,MATCH(Datos_Ventas!D146,Productos!$A$2:$A$11,0))-1</f>
        <v>-1.9444444444444486E-2</v>
      </c>
      <c r="P146">
        <f t="shared" si="11"/>
        <v>1</v>
      </c>
    </row>
    <row r="147" spans="1:16" x14ac:dyDescent="0.2">
      <c r="A147">
        <f>Datos_Ventas!A147</f>
        <v>152</v>
      </c>
      <c r="B147" s="13">
        <f>Datos_Ventas!B147</f>
        <v>46119</v>
      </c>
      <c r="C147" t="str">
        <f t="shared" si="8"/>
        <v>04 Abr</v>
      </c>
      <c r="D147" t="str">
        <f t="shared" si="9"/>
        <v>T2</v>
      </c>
      <c r="E147" t="str">
        <f>INDEX(Productos!$B$2:$B$11,MATCH(Datos_Ventas!D147,Productos!$A$2:$A$11,0))</f>
        <v>Snack Dental</v>
      </c>
      <c r="F147" t="str">
        <f>INDEX(Productos!$C$2:$C$11,MATCH(Datos_Ventas!D147,Productos!$A$2:$A$11,0))</f>
        <v>Snacks</v>
      </c>
      <c r="G147" t="str">
        <f>INDEX(Clientes!$B$2:$B$11,MATCH(Datos_Ventas!C147,Clientes!$A$2:$A$11,0))</f>
        <v>Almacén Don Pedro</v>
      </c>
      <c r="H147" t="str">
        <f>INDEX(Clientes!$C$2:$C$11,MATCH(Datos_Ventas!C147,Clientes!$A$2:$A$11,0))</f>
        <v>Minorista</v>
      </c>
      <c r="I147" t="str">
        <f>INDEX(Clientes!$D$2:$D$11,MATCH(Datos_Ventas!C147,Clientes!$A$2:$A$11,0))</f>
        <v>Maipú</v>
      </c>
      <c r="J147">
        <f>Datos_Ventas!E147</f>
        <v>26</v>
      </c>
      <c r="K147" s="29">
        <f>Datos_Ventas!F147</f>
        <v>3400</v>
      </c>
      <c r="L147" s="29">
        <f>Datos_Ventas!G147</f>
        <v>88400</v>
      </c>
      <c r="M147" s="29">
        <f>J147*INDEX(Productos!$D$2:$D$11,MATCH(Datos_Ventas!D147,Productos!$A$2:$A$11,0))</f>
        <v>46800</v>
      </c>
      <c r="N147" s="29">
        <f t="shared" si="10"/>
        <v>41600</v>
      </c>
      <c r="O147" s="30">
        <f>K147/INDEX(Productos!$E$2:$E$11,MATCH(Datos_Ventas!D147,Productos!$A$2:$A$11,0))-1</f>
        <v>6.25E-2</v>
      </c>
      <c r="P147">
        <f t="shared" si="11"/>
        <v>1</v>
      </c>
    </row>
    <row r="148" spans="1:16" x14ac:dyDescent="0.2">
      <c r="A148">
        <f>Datos_Ventas!A148</f>
        <v>153</v>
      </c>
      <c r="B148" s="13">
        <f>Datos_Ventas!B148</f>
        <v>46120</v>
      </c>
      <c r="C148" t="str">
        <f t="shared" si="8"/>
        <v>04 Abr</v>
      </c>
      <c r="D148" t="str">
        <f t="shared" si="9"/>
        <v>T2</v>
      </c>
      <c r="E148" t="str">
        <f>INDEX(Productos!$B$2:$B$11,MATCH(Datos_Ventas!D148,Productos!$A$2:$A$11,0))</f>
        <v>Snack Dental</v>
      </c>
      <c r="F148" t="str">
        <f>INDEX(Productos!$C$2:$C$11,MATCH(Datos_Ventas!D148,Productos!$A$2:$A$11,0))</f>
        <v>Snacks</v>
      </c>
      <c r="G148" t="str">
        <f>INDEX(Clientes!$B$2:$B$11,MATCH(Datos_Ventas!C148,Clientes!$A$2:$A$11,0))</f>
        <v>Hiper Centro</v>
      </c>
      <c r="H148" t="str">
        <f>INDEX(Clientes!$C$2:$C$11,MATCH(Datos_Ventas!C148,Clientes!$A$2:$A$11,0))</f>
        <v>Retail</v>
      </c>
      <c r="I148" t="str">
        <f>INDEX(Clientes!$D$2:$D$11,MATCH(Datos_Ventas!C148,Clientes!$A$2:$A$11,0))</f>
        <v>Luján de Cuyo</v>
      </c>
      <c r="J148">
        <f>Datos_Ventas!E148</f>
        <v>31</v>
      </c>
      <c r="K148" s="29">
        <f>Datos_Ventas!F148</f>
        <v>3130</v>
      </c>
      <c r="L148" s="29">
        <f>Datos_Ventas!G148</f>
        <v>97030</v>
      </c>
      <c r="M148" s="29">
        <f>J148*INDEX(Productos!$D$2:$D$11,MATCH(Datos_Ventas!D148,Productos!$A$2:$A$11,0))</f>
        <v>55800</v>
      </c>
      <c r="N148" s="29">
        <f t="shared" si="10"/>
        <v>41230</v>
      </c>
      <c r="O148" s="30">
        <f>K148/INDEX(Productos!$E$2:$E$11,MATCH(Datos_Ventas!D148,Productos!$A$2:$A$11,0))-1</f>
        <v>-2.1874999999999978E-2</v>
      </c>
      <c r="P148">
        <f t="shared" si="11"/>
        <v>1</v>
      </c>
    </row>
    <row r="149" spans="1:16" x14ac:dyDescent="0.2">
      <c r="A149">
        <f>Datos_Ventas!A149</f>
        <v>154</v>
      </c>
      <c r="B149" s="13">
        <f>Datos_Ventas!B149</f>
        <v>46120</v>
      </c>
      <c r="C149" t="str">
        <f t="shared" si="8"/>
        <v>04 Abr</v>
      </c>
      <c r="D149" t="str">
        <f t="shared" si="9"/>
        <v>T2</v>
      </c>
      <c r="E149" t="str">
        <f>INDEX(Productos!$B$2:$B$11,MATCH(Datos_Ventas!D149,Productos!$A$2:$A$11,0))</f>
        <v>Snack Dental</v>
      </c>
      <c r="F149" t="str">
        <f>INDEX(Productos!$C$2:$C$11,MATCH(Datos_Ventas!D149,Productos!$A$2:$A$11,0))</f>
        <v>Snacks</v>
      </c>
      <c r="G149" t="str">
        <f>INDEX(Clientes!$B$2:$B$11,MATCH(Datos_Ventas!C149,Clientes!$A$2:$A$11,0))</f>
        <v>Kiosco La Esquina</v>
      </c>
      <c r="H149" t="str">
        <f>INDEX(Clientes!$C$2:$C$11,MATCH(Datos_Ventas!C149,Clientes!$A$2:$A$11,0))</f>
        <v>Minorista</v>
      </c>
      <c r="I149" t="str">
        <f>INDEX(Clientes!$D$2:$D$11,MATCH(Datos_Ventas!C149,Clientes!$A$2:$A$11,0))</f>
        <v>Godoy Cruz</v>
      </c>
      <c r="J149">
        <f>Datos_Ventas!E149</f>
        <v>30</v>
      </c>
      <c r="K149" s="29">
        <f>Datos_Ventas!F149</f>
        <v>3390</v>
      </c>
      <c r="L149" s="29">
        <f>Datos_Ventas!G149</f>
        <v>101700</v>
      </c>
      <c r="M149" s="29">
        <f>J149*INDEX(Productos!$D$2:$D$11,MATCH(Datos_Ventas!D149,Productos!$A$2:$A$11,0))</f>
        <v>54000</v>
      </c>
      <c r="N149" s="29">
        <f t="shared" si="10"/>
        <v>47700</v>
      </c>
      <c r="O149" s="30">
        <f>K149/INDEX(Productos!$E$2:$E$11,MATCH(Datos_Ventas!D149,Productos!$A$2:$A$11,0))-1</f>
        <v>5.9374999999999956E-2</v>
      </c>
      <c r="P149">
        <f t="shared" si="11"/>
        <v>1</v>
      </c>
    </row>
    <row r="150" spans="1:16" x14ac:dyDescent="0.2">
      <c r="A150">
        <f>Datos_Ventas!A150</f>
        <v>156</v>
      </c>
      <c r="B150" s="13">
        <f>Datos_Ventas!B150</f>
        <v>46122</v>
      </c>
      <c r="C150" t="str">
        <f t="shared" si="8"/>
        <v>04 Abr</v>
      </c>
      <c r="D150" t="str">
        <f t="shared" si="9"/>
        <v>T2</v>
      </c>
      <c r="E150" t="str">
        <f>INDEX(Productos!$B$2:$B$11,MATCH(Datos_Ventas!D150,Productos!$A$2:$A$11,0))</f>
        <v>Aceite Omega</v>
      </c>
      <c r="F150" t="str">
        <f>INDEX(Productos!$C$2:$C$11,MATCH(Datos_Ventas!D150,Productos!$A$2:$A$11,0))</f>
        <v>Suplementos</v>
      </c>
      <c r="G150" t="str">
        <f>INDEX(Clientes!$B$2:$B$11,MATCH(Datos_Ventas!C150,Clientes!$A$2:$A$11,0))</f>
        <v>Kiosco La Esquina</v>
      </c>
      <c r="H150" t="str">
        <f>INDEX(Clientes!$C$2:$C$11,MATCH(Datos_Ventas!C150,Clientes!$A$2:$A$11,0))</f>
        <v>Minorista</v>
      </c>
      <c r="I150" t="str">
        <f>INDEX(Clientes!$D$2:$D$11,MATCH(Datos_Ventas!C150,Clientes!$A$2:$A$11,0))</f>
        <v>Godoy Cruz</v>
      </c>
      <c r="J150">
        <f>Datos_Ventas!E150</f>
        <v>2</v>
      </c>
      <c r="K150" s="29">
        <f>Datos_Ventas!F150</f>
        <v>5970</v>
      </c>
      <c r="L150" s="29">
        <f>Datos_Ventas!G150</f>
        <v>11940</v>
      </c>
      <c r="M150" s="29">
        <f>J150*INDEX(Productos!$D$2:$D$11,MATCH(Datos_Ventas!D150,Productos!$A$2:$A$11,0))</f>
        <v>6200</v>
      </c>
      <c r="N150" s="29">
        <f t="shared" si="10"/>
        <v>5740</v>
      </c>
      <c r="O150" s="30">
        <f>K150/INDEX(Productos!$E$2:$E$11,MATCH(Datos_Ventas!D150,Productos!$A$2:$A$11,0))-1</f>
        <v>6.6071428571428559E-2</v>
      </c>
      <c r="P150">
        <f t="shared" si="11"/>
        <v>1</v>
      </c>
    </row>
    <row r="151" spans="1:16" x14ac:dyDescent="0.2">
      <c r="A151">
        <f>Datos_Ventas!A151</f>
        <v>157</v>
      </c>
      <c r="B151" s="13">
        <f>Datos_Ventas!B151</f>
        <v>46123</v>
      </c>
      <c r="C151" t="str">
        <f t="shared" si="8"/>
        <v>04 Abr</v>
      </c>
      <c r="D151" t="str">
        <f t="shared" si="9"/>
        <v>T2</v>
      </c>
      <c r="E151" t="str">
        <f>INDEX(Productos!$B$2:$B$11,MATCH(Datos_Ventas!D151,Productos!$A$2:$A$11,0))</f>
        <v>Collar Ajustable</v>
      </c>
      <c r="F151" t="str">
        <f>INDEX(Productos!$C$2:$C$11,MATCH(Datos_Ventas!D151,Productos!$A$2:$A$11,0))</f>
        <v>Accesorios</v>
      </c>
      <c r="G151" t="str">
        <f>INDEX(Clientes!$B$2:$B$11,MATCH(Datos_Ventas!C151,Clientes!$A$2:$A$11,0))</f>
        <v>Veterinaria Sur</v>
      </c>
      <c r="H151" t="str">
        <f>INDEX(Clientes!$C$2:$C$11,MATCH(Datos_Ventas!C151,Clientes!$A$2:$A$11,0))</f>
        <v>Especializado</v>
      </c>
      <c r="I151" t="str">
        <f>INDEX(Clientes!$D$2:$D$11,MATCH(Datos_Ventas!C151,Clientes!$A$2:$A$11,0))</f>
        <v>Godoy Cruz</v>
      </c>
      <c r="J151">
        <f>Datos_Ventas!E151</f>
        <v>28</v>
      </c>
      <c r="K151" s="29">
        <f>Datos_Ventas!F151</f>
        <v>3380</v>
      </c>
      <c r="L151" s="29">
        <f>Datos_Ventas!G151</f>
        <v>94640</v>
      </c>
      <c r="M151" s="29">
        <f>J151*INDEX(Productos!$D$2:$D$11,MATCH(Datos_Ventas!D151,Productos!$A$2:$A$11,0))</f>
        <v>53200</v>
      </c>
      <c r="N151" s="29">
        <f t="shared" si="10"/>
        <v>41440</v>
      </c>
      <c r="O151" s="30">
        <f>K151/INDEX(Productos!$E$2:$E$11,MATCH(Datos_Ventas!D151,Productos!$A$2:$A$11,0))-1</f>
        <v>-6.1111111111111116E-2</v>
      </c>
      <c r="P151">
        <f t="shared" si="11"/>
        <v>1</v>
      </c>
    </row>
    <row r="152" spans="1:16" x14ac:dyDescent="0.2">
      <c r="A152">
        <f>Datos_Ventas!A152</f>
        <v>158</v>
      </c>
      <c r="B152" s="13">
        <f>Datos_Ventas!B152</f>
        <v>46124</v>
      </c>
      <c r="C152" t="str">
        <f t="shared" si="8"/>
        <v>04 Abr</v>
      </c>
      <c r="D152" t="str">
        <f t="shared" si="9"/>
        <v>T2</v>
      </c>
      <c r="E152" t="str">
        <f>INDEX(Productos!$B$2:$B$11,MATCH(Datos_Ventas!D152,Productos!$A$2:$A$11,0))</f>
        <v>Correa Reforzada</v>
      </c>
      <c r="F152" t="str">
        <f>INDEX(Productos!$C$2:$C$11,MATCH(Datos_Ventas!D152,Productos!$A$2:$A$11,0))</f>
        <v>Accesorios</v>
      </c>
      <c r="G152" t="str">
        <f>INDEX(Clientes!$B$2:$B$11,MATCH(Datos_Ventas!C152,Clientes!$A$2:$A$11,0))</f>
        <v>Mayorista del Sol</v>
      </c>
      <c r="H152" t="str">
        <f>INDEX(Clientes!$C$2:$C$11,MATCH(Datos_Ventas!C152,Clientes!$A$2:$A$11,0))</f>
        <v>Mayorista</v>
      </c>
      <c r="I152" t="str">
        <f>INDEX(Clientes!$D$2:$D$11,MATCH(Datos_Ventas!C152,Clientes!$A$2:$A$11,0))</f>
        <v>San Martín</v>
      </c>
      <c r="J152">
        <f>Datos_Ventas!E152</f>
        <v>19</v>
      </c>
      <c r="K152" s="29">
        <f>Datos_Ventas!F152</f>
        <v>5350</v>
      </c>
      <c r="L152" s="29">
        <f>Datos_Ventas!G152</f>
        <v>101650</v>
      </c>
      <c r="M152" s="29">
        <f>J152*INDEX(Productos!$D$2:$D$11,MATCH(Datos_Ventas!D152,Productos!$A$2:$A$11,0))</f>
        <v>53200</v>
      </c>
      <c r="N152" s="29">
        <f t="shared" si="10"/>
        <v>48450</v>
      </c>
      <c r="O152" s="30">
        <f>K152/INDEX(Productos!$E$2:$E$11,MATCH(Datos_Ventas!D152,Productos!$A$2:$A$11,0))-1</f>
        <v>2.8846153846153744E-2</v>
      </c>
      <c r="P152">
        <f t="shared" si="11"/>
        <v>1</v>
      </c>
    </row>
    <row r="153" spans="1:16" x14ac:dyDescent="0.2">
      <c r="A153">
        <f>Datos_Ventas!A153</f>
        <v>159</v>
      </c>
      <c r="B153" s="13">
        <f>Datos_Ventas!B153</f>
        <v>46125</v>
      </c>
      <c r="C153" t="str">
        <f t="shared" si="8"/>
        <v>04 Abr</v>
      </c>
      <c r="D153" t="str">
        <f t="shared" si="9"/>
        <v>T2</v>
      </c>
      <c r="E153" t="str">
        <f>INDEX(Productos!$B$2:$B$11,MATCH(Datos_Ventas!D153,Productos!$A$2:$A$11,0))</f>
        <v>Shampoo Mascotas</v>
      </c>
      <c r="F153" t="str">
        <f>INDEX(Productos!$C$2:$C$11,MATCH(Datos_Ventas!D153,Productos!$A$2:$A$11,0))</f>
        <v>Higiene</v>
      </c>
      <c r="G153" t="str">
        <f>INDEX(Clientes!$B$2:$B$11,MATCH(Datos_Ventas!C153,Clientes!$A$2:$A$11,0))</f>
        <v>Hiper Centro</v>
      </c>
      <c r="H153" t="str">
        <f>INDEX(Clientes!$C$2:$C$11,MATCH(Datos_Ventas!C153,Clientes!$A$2:$A$11,0))</f>
        <v>Retail</v>
      </c>
      <c r="I153" t="str">
        <f>INDEX(Clientes!$D$2:$D$11,MATCH(Datos_Ventas!C153,Clientes!$A$2:$A$11,0))</f>
        <v>Luján de Cuyo</v>
      </c>
      <c r="J153">
        <f>Datos_Ventas!E153</f>
        <v>7</v>
      </c>
      <c r="K153" s="29">
        <f>Datos_Ventas!F153</f>
        <v>3630</v>
      </c>
      <c r="L153" s="29">
        <f>Datos_Ventas!G153</f>
        <v>25410</v>
      </c>
      <c r="M153" s="29">
        <f>J153*INDEX(Productos!$D$2:$D$11,MATCH(Datos_Ventas!D153,Productos!$A$2:$A$11,0))</f>
        <v>15400</v>
      </c>
      <c r="N153" s="29">
        <f t="shared" si="10"/>
        <v>10010</v>
      </c>
      <c r="O153" s="30">
        <f>K153/INDEX(Productos!$E$2:$E$11,MATCH(Datos_Ventas!D153,Productos!$A$2:$A$11,0))-1</f>
        <v>-6.9230769230769207E-2</v>
      </c>
      <c r="P153">
        <f t="shared" si="11"/>
        <v>1</v>
      </c>
    </row>
    <row r="154" spans="1:16" x14ac:dyDescent="0.2">
      <c r="A154">
        <f>Datos_Ventas!A154</f>
        <v>160</v>
      </c>
      <c r="B154" s="13">
        <f>Datos_Ventas!B154</f>
        <v>46125</v>
      </c>
      <c r="C154" t="str">
        <f t="shared" si="8"/>
        <v>04 Abr</v>
      </c>
      <c r="D154" t="str">
        <f t="shared" si="9"/>
        <v>T2</v>
      </c>
      <c r="E154" t="str">
        <f>INDEX(Productos!$B$2:$B$11,MATCH(Datos_Ventas!D154,Productos!$A$2:$A$11,0))</f>
        <v>Correa Reforzada</v>
      </c>
      <c r="F154" t="str">
        <f>INDEX(Productos!$C$2:$C$11,MATCH(Datos_Ventas!D154,Productos!$A$2:$A$11,0))</f>
        <v>Accesorios</v>
      </c>
      <c r="G154" t="str">
        <f>INDEX(Clientes!$B$2:$B$11,MATCH(Datos_Ventas!C154,Clientes!$A$2:$A$11,0))</f>
        <v>Mayorista del Sol</v>
      </c>
      <c r="H154" t="str">
        <f>INDEX(Clientes!$C$2:$C$11,MATCH(Datos_Ventas!C154,Clientes!$A$2:$A$11,0))</f>
        <v>Mayorista</v>
      </c>
      <c r="I154" t="str">
        <f>INDEX(Clientes!$D$2:$D$11,MATCH(Datos_Ventas!C154,Clientes!$A$2:$A$11,0))</f>
        <v>San Martín</v>
      </c>
      <c r="J154">
        <f>Datos_Ventas!E154</f>
        <v>31</v>
      </c>
      <c r="K154" s="29">
        <f>Datos_Ventas!F154</f>
        <v>5500</v>
      </c>
      <c r="L154" s="29">
        <f>Datos_Ventas!G154</f>
        <v>170500</v>
      </c>
      <c r="M154" s="29">
        <f>J154*INDEX(Productos!$D$2:$D$11,MATCH(Datos_Ventas!D154,Productos!$A$2:$A$11,0))</f>
        <v>86800</v>
      </c>
      <c r="N154" s="29">
        <f t="shared" si="10"/>
        <v>83700</v>
      </c>
      <c r="O154" s="30">
        <f>K154/INDEX(Productos!$E$2:$E$11,MATCH(Datos_Ventas!D154,Productos!$A$2:$A$11,0))-1</f>
        <v>5.7692307692307709E-2</v>
      </c>
      <c r="P154">
        <f t="shared" si="11"/>
        <v>1</v>
      </c>
    </row>
    <row r="155" spans="1:16" x14ac:dyDescent="0.2">
      <c r="A155">
        <f>Datos_Ventas!A155</f>
        <v>161</v>
      </c>
      <c r="B155" s="13">
        <f>Datos_Ventas!B155</f>
        <v>46126</v>
      </c>
      <c r="C155" t="str">
        <f t="shared" si="8"/>
        <v>04 Abr</v>
      </c>
      <c r="D155" t="str">
        <f t="shared" si="9"/>
        <v>T2</v>
      </c>
      <c r="E155" t="str">
        <f>INDEX(Productos!$B$2:$B$11,MATCH(Datos_Ventas!D155,Productos!$A$2:$A$11,0))</f>
        <v>Galletas Perro</v>
      </c>
      <c r="F155" t="str">
        <f>INDEX(Productos!$C$2:$C$11,MATCH(Datos_Ventas!D155,Productos!$A$2:$A$11,0))</f>
        <v>Snacks</v>
      </c>
      <c r="G155" t="str">
        <f>INDEX(Clientes!$B$2:$B$11,MATCH(Datos_Ventas!C155,Clientes!$A$2:$A$11,0))</f>
        <v>Hiper Centro</v>
      </c>
      <c r="H155" t="str">
        <f>INDEX(Clientes!$C$2:$C$11,MATCH(Datos_Ventas!C155,Clientes!$A$2:$A$11,0))</f>
        <v>Retail</v>
      </c>
      <c r="I155" t="str">
        <f>INDEX(Clientes!$D$2:$D$11,MATCH(Datos_Ventas!C155,Clientes!$A$2:$A$11,0))</f>
        <v>Luján de Cuyo</v>
      </c>
      <c r="J155">
        <f>Datos_Ventas!E155</f>
        <v>20</v>
      </c>
      <c r="K155" s="29">
        <f>Datos_Ventas!F155</f>
        <v>2720</v>
      </c>
      <c r="L155" s="29">
        <f>Datos_Ventas!G155</f>
        <v>54400</v>
      </c>
      <c r="M155" s="29">
        <f>J155*INDEX(Productos!$D$2:$D$11,MATCH(Datos_Ventas!D155,Productos!$A$2:$A$11,0))</f>
        <v>30000</v>
      </c>
      <c r="N155" s="29">
        <f t="shared" si="10"/>
        <v>24400</v>
      </c>
      <c r="O155" s="30">
        <f>K155/INDEX(Productos!$E$2:$E$11,MATCH(Datos_Ventas!D155,Productos!$A$2:$A$11,0))-1</f>
        <v>7.4074074074073071E-3</v>
      </c>
      <c r="P155">
        <f t="shared" si="11"/>
        <v>1</v>
      </c>
    </row>
    <row r="156" spans="1:16" x14ac:dyDescent="0.2">
      <c r="A156">
        <f>Datos_Ventas!A156</f>
        <v>162</v>
      </c>
      <c r="B156" s="13">
        <f>Datos_Ventas!B156</f>
        <v>46126</v>
      </c>
      <c r="C156" t="str">
        <f t="shared" si="8"/>
        <v>04 Abr</v>
      </c>
      <c r="D156" t="str">
        <f t="shared" si="9"/>
        <v>T2</v>
      </c>
      <c r="E156" t="str">
        <f>INDEX(Productos!$B$2:$B$11,MATCH(Datos_Ventas!D156,Productos!$A$2:$A$11,0))</f>
        <v>Alimento Premium 10kg</v>
      </c>
      <c r="F156" t="str">
        <f>INDEX(Productos!$C$2:$C$11,MATCH(Datos_Ventas!D156,Productos!$A$2:$A$11,0))</f>
        <v>Alimentos</v>
      </c>
      <c r="G156" t="str">
        <f>INDEX(Clientes!$B$2:$B$11,MATCH(Datos_Ventas!C156,Clientes!$A$2:$A$11,0))</f>
        <v>Hiper Centro</v>
      </c>
      <c r="H156" t="str">
        <f>INDEX(Clientes!$C$2:$C$11,MATCH(Datos_Ventas!C156,Clientes!$A$2:$A$11,0))</f>
        <v>Retail</v>
      </c>
      <c r="I156" t="str">
        <f>INDEX(Clientes!$D$2:$D$11,MATCH(Datos_Ventas!C156,Clientes!$A$2:$A$11,0))</f>
        <v>Luján de Cuyo</v>
      </c>
      <c r="J156">
        <f>Datos_Ventas!E156</f>
        <v>15</v>
      </c>
      <c r="K156" s="29">
        <f>Datos_Ventas!F156</f>
        <v>20160</v>
      </c>
      <c r="L156" s="29">
        <f>Datos_Ventas!G156</f>
        <v>302400</v>
      </c>
      <c r="M156" s="29">
        <f>J156*INDEX(Productos!$D$2:$D$11,MATCH(Datos_Ventas!D156,Productos!$A$2:$A$11,0))</f>
        <v>187500</v>
      </c>
      <c r="N156" s="29">
        <f t="shared" si="10"/>
        <v>114900</v>
      </c>
      <c r="O156" s="30">
        <f>K156/INDEX(Productos!$E$2:$E$11,MATCH(Datos_Ventas!D156,Productos!$A$2:$A$11,0))-1</f>
        <v>6.6666666666666652E-2</v>
      </c>
      <c r="P156">
        <f t="shared" si="11"/>
        <v>1</v>
      </c>
    </row>
    <row r="157" spans="1:16" x14ac:dyDescent="0.2">
      <c r="A157">
        <f>Datos_Ventas!A157</f>
        <v>163</v>
      </c>
      <c r="B157" s="13">
        <f>Datos_Ventas!B157</f>
        <v>46127</v>
      </c>
      <c r="C157" t="str">
        <f t="shared" si="8"/>
        <v>04 Abr</v>
      </c>
      <c r="D157" t="str">
        <f t="shared" si="9"/>
        <v>T2</v>
      </c>
      <c r="E157" t="str">
        <f>INDEX(Productos!$B$2:$B$11,MATCH(Datos_Ventas!D157,Productos!$A$2:$A$11,0))</f>
        <v>Galletas Perro</v>
      </c>
      <c r="F157" t="str">
        <f>INDEX(Productos!$C$2:$C$11,MATCH(Datos_Ventas!D157,Productos!$A$2:$A$11,0))</f>
        <v>Snacks</v>
      </c>
      <c r="G157" t="str">
        <f>INDEX(Clientes!$B$2:$B$11,MATCH(Datos_Ventas!C157,Clientes!$A$2:$A$11,0))</f>
        <v>Supermercado Cuyo</v>
      </c>
      <c r="H157" t="str">
        <f>INDEX(Clientes!$C$2:$C$11,MATCH(Datos_Ventas!C157,Clientes!$A$2:$A$11,0))</f>
        <v>Retail</v>
      </c>
      <c r="I157" t="str">
        <f>INDEX(Clientes!$D$2:$D$11,MATCH(Datos_Ventas!C157,Clientes!$A$2:$A$11,0))</f>
        <v>Guaymallén</v>
      </c>
      <c r="J157">
        <f>Datos_Ventas!E157</f>
        <v>25</v>
      </c>
      <c r="K157" s="29">
        <f>Datos_Ventas!F157</f>
        <v>2610</v>
      </c>
      <c r="L157" s="29">
        <f>Datos_Ventas!G157</f>
        <v>65250</v>
      </c>
      <c r="M157" s="29">
        <f>J157*INDEX(Productos!$D$2:$D$11,MATCH(Datos_Ventas!D157,Productos!$A$2:$A$11,0))</f>
        <v>37500</v>
      </c>
      <c r="N157" s="29">
        <f t="shared" si="10"/>
        <v>27750</v>
      </c>
      <c r="O157" s="30">
        <f>K157/INDEX(Productos!$E$2:$E$11,MATCH(Datos_Ventas!D157,Productos!$A$2:$A$11,0))-1</f>
        <v>-3.3333333333333326E-2</v>
      </c>
      <c r="P157">
        <f t="shared" si="11"/>
        <v>1</v>
      </c>
    </row>
    <row r="158" spans="1:16" x14ac:dyDescent="0.2">
      <c r="A158">
        <f>Datos_Ventas!A158</f>
        <v>164</v>
      </c>
      <c r="B158" s="13">
        <f>Datos_Ventas!B158</f>
        <v>46127</v>
      </c>
      <c r="C158" t="str">
        <f t="shared" si="8"/>
        <v>04 Abr</v>
      </c>
      <c r="D158" t="str">
        <f t="shared" si="9"/>
        <v>T2</v>
      </c>
      <c r="E158" t="str">
        <f>INDEX(Productos!$B$2:$B$11,MATCH(Datos_Ventas!D158,Productos!$A$2:$A$11,0))</f>
        <v>Shampoo Mascotas</v>
      </c>
      <c r="F158" t="str">
        <f>INDEX(Productos!$C$2:$C$11,MATCH(Datos_Ventas!D158,Productos!$A$2:$A$11,0))</f>
        <v>Higiene</v>
      </c>
      <c r="G158" t="str">
        <f>INDEX(Clientes!$B$2:$B$11,MATCH(Datos_Ventas!C158,Clientes!$A$2:$A$11,0))</f>
        <v>Almacén Don Pedro</v>
      </c>
      <c r="H158" t="str">
        <f>INDEX(Clientes!$C$2:$C$11,MATCH(Datos_Ventas!C158,Clientes!$A$2:$A$11,0))</f>
        <v>Minorista</v>
      </c>
      <c r="I158" t="str">
        <f>INDEX(Clientes!$D$2:$D$11,MATCH(Datos_Ventas!C158,Clientes!$A$2:$A$11,0))</f>
        <v>Maipú</v>
      </c>
      <c r="J158">
        <f>Datos_Ventas!E158</f>
        <v>1</v>
      </c>
      <c r="K158" s="29">
        <f>Datos_Ventas!F158</f>
        <v>3800</v>
      </c>
      <c r="L158" s="29">
        <f>Datos_Ventas!G158</f>
        <v>3800</v>
      </c>
      <c r="M158" s="29">
        <f>J158*INDEX(Productos!$D$2:$D$11,MATCH(Datos_Ventas!D158,Productos!$A$2:$A$11,0))</f>
        <v>2200</v>
      </c>
      <c r="N158" s="29">
        <f t="shared" si="10"/>
        <v>1600</v>
      </c>
      <c r="O158" s="30">
        <f>K158/INDEX(Productos!$E$2:$E$11,MATCH(Datos_Ventas!D158,Productos!$A$2:$A$11,0))-1</f>
        <v>-2.5641025641025661E-2</v>
      </c>
      <c r="P158">
        <f t="shared" si="11"/>
        <v>1</v>
      </c>
    </row>
    <row r="159" spans="1:16" x14ac:dyDescent="0.2">
      <c r="A159">
        <f>Datos_Ventas!A159</f>
        <v>165</v>
      </c>
      <c r="B159" s="13">
        <f>Datos_Ventas!B159</f>
        <v>46127</v>
      </c>
      <c r="C159" t="str">
        <f t="shared" si="8"/>
        <v>04 Abr</v>
      </c>
      <c r="D159" t="str">
        <f t="shared" si="9"/>
        <v>T2</v>
      </c>
      <c r="E159" t="str">
        <f>INDEX(Productos!$B$2:$B$11,MATCH(Datos_Ventas!D159,Productos!$A$2:$A$11,0))</f>
        <v>Aceite Omega</v>
      </c>
      <c r="F159" t="str">
        <f>INDEX(Productos!$C$2:$C$11,MATCH(Datos_Ventas!D159,Productos!$A$2:$A$11,0))</f>
        <v>Suplementos</v>
      </c>
      <c r="G159" t="str">
        <f>INDEX(Clientes!$B$2:$B$11,MATCH(Datos_Ventas!C159,Clientes!$A$2:$A$11,0))</f>
        <v>Almacén Don Pedro</v>
      </c>
      <c r="H159" t="str">
        <f>INDEX(Clientes!$C$2:$C$11,MATCH(Datos_Ventas!C159,Clientes!$A$2:$A$11,0))</f>
        <v>Minorista</v>
      </c>
      <c r="I159" t="str">
        <f>INDEX(Clientes!$D$2:$D$11,MATCH(Datos_Ventas!C159,Clientes!$A$2:$A$11,0))</f>
        <v>Maipú</v>
      </c>
      <c r="J159">
        <f>Datos_Ventas!E159</f>
        <v>5</v>
      </c>
      <c r="K159" s="29">
        <f>Datos_Ventas!F159</f>
        <v>5810</v>
      </c>
      <c r="L159" s="29">
        <f>Datos_Ventas!G159</f>
        <v>29050</v>
      </c>
      <c r="M159" s="29">
        <f>J159*INDEX(Productos!$D$2:$D$11,MATCH(Datos_Ventas!D159,Productos!$A$2:$A$11,0))</f>
        <v>15500</v>
      </c>
      <c r="N159" s="29">
        <f t="shared" si="10"/>
        <v>13550</v>
      </c>
      <c r="O159" s="30">
        <f>K159/INDEX(Productos!$E$2:$E$11,MATCH(Datos_Ventas!D159,Productos!$A$2:$A$11,0))-1</f>
        <v>3.7500000000000089E-2</v>
      </c>
      <c r="P159">
        <f t="shared" si="11"/>
        <v>1</v>
      </c>
    </row>
    <row r="160" spans="1:16" x14ac:dyDescent="0.2">
      <c r="A160">
        <f>Datos_Ventas!A160</f>
        <v>166</v>
      </c>
      <c r="B160" s="13">
        <f>Datos_Ventas!B160</f>
        <v>46127</v>
      </c>
      <c r="C160" t="str">
        <f t="shared" si="8"/>
        <v>04 Abr</v>
      </c>
      <c r="D160" t="str">
        <f t="shared" si="9"/>
        <v>T2</v>
      </c>
      <c r="E160" t="str">
        <f>INDEX(Productos!$B$2:$B$11,MATCH(Datos_Ventas!D160,Productos!$A$2:$A$11,0))</f>
        <v>Correa Reforzada</v>
      </c>
      <c r="F160" t="str">
        <f>INDEX(Productos!$C$2:$C$11,MATCH(Datos_Ventas!D160,Productos!$A$2:$A$11,0))</f>
        <v>Accesorios</v>
      </c>
      <c r="G160" t="str">
        <f>INDEX(Clientes!$B$2:$B$11,MATCH(Datos_Ventas!C160,Clientes!$A$2:$A$11,0))</f>
        <v>Distribuidora Andes</v>
      </c>
      <c r="H160" t="str">
        <f>INDEX(Clientes!$C$2:$C$11,MATCH(Datos_Ventas!C160,Clientes!$A$2:$A$11,0))</f>
        <v>Mayorista</v>
      </c>
      <c r="I160" t="str">
        <f>INDEX(Clientes!$D$2:$D$11,MATCH(Datos_Ventas!C160,Clientes!$A$2:$A$11,0))</f>
        <v>Mendoza</v>
      </c>
      <c r="J160">
        <f>Datos_Ventas!E160</f>
        <v>33</v>
      </c>
      <c r="K160" s="29">
        <f>Datos_Ventas!F160</f>
        <v>4950</v>
      </c>
      <c r="L160" s="29">
        <f>Datos_Ventas!G160</f>
        <v>163350</v>
      </c>
      <c r="M160" s="29">
        <f>J160*INDEX(Productos!$D$2:$D$11,MATCH(Datos_Ventas!D160,Productos!$A$2:$A$11,0))</f>
        <v>92400</v>
      </c>
      <c r="N160" s="29">
        <f t="shared" si="10"/>
        <v>70950</v>
      </c>
      <c r="O160" s="30">
        <f>K160/INDEX(Productos!$E$2:$E$11,MATCH(Datos_Ventas!D160,Productos!$A$2:$A$11,0))-1</f>
        <v>-4.8076923076923128E-2</v>
      </c>
      <c r="P160">
        <f t="shared" si="11"/>
        <v>1</v>
      </c>
    </row>
    <row r="161" spans="1:16" x14ac:dyDescent="0.2">
      <c r="A161">
        <f>Datos_Ventas!A161</f>
        <v>167</v>
      </c>
      <c r="B161" s="13">
        <f>Datos_Ventas!B161</f>
        <v>46128</v>
      </c>
      <c r="C161" t="str">
        <f t="shared" si="8"/>
        <v>04 Abr</v>
      </c>
      <c r="D161" t="str">
        <f t="shared" si="9"/>
        <v>T2</v>
      </c>
      <c r="E161" t="str">
        <f>INDEX(Productos!$B$2:$B$11,MATCH(Datos_Ventas!D161,Productos!$A$2:$A$11,0))</f>
        <v>Aceite Omega</v>
      </c>
      <c r="F161" t="str">
        <f>INDEX(Productos!$C$2:$C$11,MATCH(Datos_Ventas!D161,Productos!$A$2:$A$11,0))</f>
        <v>Suplementos</v>
      </c>
      <c r="G161" t="str">
        <f>INDEX(Clientes!$B$2:$B$11,MATCH(Datos_Ventas!C161,Clientes!$A$2:$A$11,0))</f>
        <v>Despensa Vero</v>
      </c>
      <c r="H161" t="str">
        <f>INDEX(Clientes!$C$2:$C$11,MATCH(Datos_Ventas!C161,Clientes!$A$2:$A$11,0))</f>
        <v>Minorista</v>
      </c>
      <c r="I161" t="str">
        <f>INDEX(Clientes!$D$2:$D$11,MATCH(Datos_Ventas!C161,Clientes!$A$2:$A$11,0))</f>
        <v>Mendoza</v>
      </c>
      <c r="J161">
        <f>Datos_Ventas!E161</f>
        <v>14</v>
      </c>
      <c r="K161" s="29">
        <f>Datos_Ventas!F161</f>
        <v>5400</v>
      </c>
      <c r="L161" s="29">
        <f>Datos_Ventas!G161</f>
        <v>75600</v>
      </c>
      <c r="M161" s="29">
        <f>J161*INDEX(Productos!$D$2:$D$11,MATCH(Datos_Ventas!D161,Productos!$A$2:$A$11,0))</f>
        <v>43400</v>
      </c>
      <c r="N161" s="29">
        <f t="shared" si="10"/>
        <v>32200</v>
      </c>
      <c r="O161" s="30">
        <f>K161/INDEX(Productos!$E$2:$E$11,MATCH(Datos_Ventas!D161,Productos!$A$2:$A$11,0))-1</f>
        <v>-3.5714285714285698E-2</v>
      </c>
      <c r="P161">
        <f t="shared" si="11"/>
        <v>1</v>
      </c>
    </row>
    <row r="162" spans="1:16" x14ac:dyDescent="0.2">
      <c r="A162">
        <f>Datos_Ventas!A162</f>
        <v>168</v>
      </c>
      <c r="B162" s="13">
        <f>Datos_Ventas!B162</f>
        <v>46131</v>
      </c>
      <c r="C162" t="str">
        <f t="shared" si="8"/>
        <v>04 Abr</v>
      </c>
      <c r="D162" t="str">
        <f t="shared" si="9"/>
        <v>T2</v>
      </c>
      <c r="E162" t="str">
        <f>INDEX(Productos!$B$2:$B$11,MATCH(Datos_Ventas!D162,Productos!$A$2:$A$11,0))</f>
        <v>Arena Sanitaria</v>
      </c>
      <c r="F162" t="str">
        <f>INDEX(Productos!$C$2:$C$11,MATCH(Datos_Ventas!D162,Productos!$A$2:$A$11,0))</f>
        <v>Higiene</v>
      </c>
      <c r="G162" t="str">
        <f>INDEX(Clientes!$B$2:$B$11,MATCH(Datos_Ventas!C162,Clientes!$A$2:$A$11,0))</f>
        <v>Hiper Centro</v>
      </c>
      <c r="H162" t="str">
        <f>INDEX(Clientes!$C$2:$C$11,MATCH(Datos_Ventas!C162,Clientes!$A$2:$A$11,0))</f>
        <v>Retail</v>
      </c>
      <c r="I162" t="str">
        <f>INDEX(Clientes!$D$2:$D$11,MATCH(Datos_Ventas!C162,Clientes!$A$2:$A$11,0))</f>
        <v>Luján de Cuyo</v>
      </c>
      <c r="J162">
        <f>Datos_Ventas!E162</f>
        <v>18</v>
      </c>
      <c r="K162" s="29">
        <f>Datos_Ventas!F162</f>
        <v>4600</v>
      </c>
      <c r="L162" s="29">
        <f>Datos_Ventas!G162</f>
        <v>82800</v>
      </c>
      <c r="M162" s="29">
        <f>J162*INDEX(Productos!$D$2:$D$11,MATCH(Datos_Ventas!D162,Productos!$A$2:$A$11,0))</f>
        <v>46800</v>
      </c>
      <c r="N162" s="29">
        <f t="shared" si="10"/>
        <v>36000</v>
      </c>
      <c r="O162" s="30">
        <f>K162/INDEX(Productos!$E$2:$E$11,MATCH(Datos_Ventas!D162,Productos!$A$2:$A$11,0))-1</f>
        <v>4.5454545454545414E-2</v>
      </c>
      <c r="P162">
        <f t="shared" si="11"/>
        <v>1</v>
      </c>
    </row>
    <row r="163" spans="1:16" x14ac:dyDescent="0.2">
      <c r="A163">
        <f>Datos_Ventas!A163</f>
        <v>169</v>
      </c>
      <c r="B163" s="13">
        <f>Datos_Ventas!B163</f>
        <v>46133</v>
      </c>
      <c r="C163" t="str">
        <f t="shared" si="8"/>
        <v>04 Abr</v>
      </c>
      <c r="D163" t="str">
        <f t="shared" si="9"/>
        <v>T2</v>
      </c>
      <c r="E163" t="str">
        <f>INDEX(Productos!$B$2:$B$11,MATCH(Datos_Ventas!D163,Productos!$A$2:$A$11,0))</f>
        <v>Collar Ajustable</v>
      </c>
      <c r="F163" t="str">
        <f>INDEX(Productos!$C$2:$C$11,MATCH(Datos_Ventas!D163,Productos!$A$2:$A$11,0))</f>
        <v>Accesorios</v>
      </c>
      <c r="G163" t="str">
        <f>INDEX(Clientes!$B$2:$B$11,MATCH(Datos_Ventas!C163,Clientes!$A$2:$A$11,0))</f>
        <v>Supermercado Cuyo</v>
      </c>
      <c r="H163" t="str">
        <f>INDEX(Clientes!$C$2:$C$11,MATCH(Datos_Ventas!C163,Clientes!$A$2:$A$11,0))</f>
        <v>Retail</v>
      </c>
      <c r="I163" t="str">
        <f>INDEX(Clientes!$D$2:$D$11,MATCH(Datos_Ventas!C163,Clientes!$A$2:$A$11,0))</f>
        <v>Guaymallén</v>
      </c>
      <c r="J163">
        <f>Datos_Ventas!E163</f>
        <v>5</v>
      </c>
      <c r="K163" s="29">
        <f>Datos_Ventas!F163</f>
        <v>3360</v>
      </c>
      <c r="L163" s="29">
        <f>Datos_Ventas!G163</f>
        <v>16800</v>
      </c>
      <c r="M163" s="29">
        <f>J163*INDEX(Productos!$D$2:$D$11,MATCH(Datos_Ventas!D163,Productos!$A$2:$A$11,0))</f>
        <v>9500</v>
      </c>
      <c r="N163" s="29">
        <f t="shared" si="10"/>
        <v>7300</v>
      </c>
      <c r="O163" s="30">
        <f>K163/INDEX(Productos!$E$2:$E$11,MATCH(Datos_Ventas!D163,Productos!$A$2:$A$11,0))-1</f>
        <v>-6.6666666666666652E-2</v>
      </c>
      <c r="P163">
        <f t="shared" si="11"/>
        <v>1</v>
      </c>
    </row>
    <row r="164" spans="1:16" x14ac:dyDescent="0.2">
      <c r="A164">
        <f>Datos_Ventas!A164</f>
        <v>170</v>
      </c>
      <c r="B164" s="13">
        <f>Datos_Ventas!B164</f>
        <v>46133</v>
      </c>
      <c r="C164" t="str">
        <f t="shared" si="8"/>
        <v>04 Abr</v>
      </c>
      <c r="D164" t="str">
        <f t="shared" si="9"/>
        <v>T2</v>
      </c>
      <c r="E164" t="str">
        <f>INDEX(Productos!$B$2:$B$11,MATCH(Datos_Ventas!D164,Productos!$A$2:$A$11,0))</f>
        <v>Shampoo Mascotas</v>
      </c>
      <c r="F164" t="str">
        <f>INDEX(Productos!$C$2:$C$11,MATCH(Datos_Ventas!D164,Productos!$A$2:$A$11,0))</f>
        <v>Higiene</v>
      </c>
      <c r="G164" t="str">
        <f>INDEX(Clientes!$B$2:$B$11,MATCH(Datos_Ventas!C164,Clientes!$A$2:$A$11,0))</f>
        <v>Hiper Centro</v>
      </c>
      <c r="H164" t="str">
        <f>INDEX(Clientes!$C$2:$C$11,MATCH(Datos_Ventas!C164,Clientes!$A$2:$A$11,0))</f>
        <v>Retail</v>
      </c>
      <c r="I164" t="str">
        <f>INDEX(Clientes!$D$2:$D$11,MATCH(Datos_Ventas!C164,Clientes!$A$2:$A$11,0))</f>
        <v>Luján de Cuyo</v>
      </c>
      <c r="J164">
        <f>Datos_Ventas!E164</f>
        <v>40</v>
      </c>
      <c r="K164" s="29">
        <f>Datos_Ventas!F164</f>
        <v>3710</v>
      </c>
      <c r="L164" s="29">
        <f>Datos_Ventas!G164</f>
        <v>148400</v>
      </c>
      <c r="M164" s="29">
        <f>J164*INDEX(Productos!$D$2:$D$11,MATCH(Datos_Ventas!D164,Productos!$A$2:$A$11,0))</f>
        <v>88000</v>
      </c>
      <c r="N164" s="29">
        <f t="shared" si="10"/>
        <v>60400</v>
      </c>
      <c r="O164" s="30">
        <f>K164/INDEX(Productos!$E$2:$E$11,MATCH(Datos_Ventas!D164,Productos!$A$2:$A$11,0))-1</f>
        <v>-4.8717948717948767E-2</v>
      </c>
      <c r="P164">
        <f t="shared" si="11"/>
        <v>1</v>
      </c>
    </row>
    <row r="165" spans="1:16" x14ac:dyDescent="0.2">
      <c r="A165">
        <f>Datos_Ventas!A165</f>
        <v>171</v>
      </c>
      <c r="B165" s="13">
        <f>Datos_Ventas!B165</f>
        <v>46133</v>
      </c>
      <c r="C165" t="str">
        <f t="shared" si="8"/>
        <v>04 Abr</v>
      </c>
      <c r="D165" t="str">
        <f t="shared" si="9"/>
        <v>T2</v>
      </c>
      <c r="E165" t="str">
        <f>INDEX(Productos!$B$2:$B$11,MATCH(Datos_Ventas!D165,Productos!$A$2:$A$11,0))</f>
        <v>Arena Sanitaria</v>
      </c>
      <c r="F165" t="str">
        <f>INDEX(Productos!$C$2:$C$11,MATCH(Datos_Ventas!D165,Productos!$A$2:$A$11,0))</f>
        <v>Higiene</v>
      </c>
      <c r="G165" t="str">
        <f>INDEX(Clientes!$B$2:$B$11,MATCH(Datos_Ventas!C165,Clientes!$A$2:$A$11,0))</f>
        <v>Veterinaria Sur</v>
      </c>
      <c r="H165" t="str">
        <f>INDEX(Clientes!$C$2:$C$11,MATCH(Datos_Ventas!C165,Clientes!$A$2:$A$11,0))</f>
        <v>Especializado</v>
      </c>
      <c r="I165" t="str">
        <f>INDEX(Clientes!$D$2:$D$11,MATCH(Datos_Ventas!C165,Clientes!$A$2:$A$11,0))</f>
        <v>Godoy Cruz</v>
      </c>
      <c r="J165">
        <f>Datos_Ventas!E165</f>
        <v>29</v>
      </c>
      <c r="K165" s="29">
        <f>Datos_Ventas!F165</f>
        <v>4150</v>
      </c>
      <c r="L165" s="29">
        <f>Datos_Ventas!G165</f>
        <v>120350</v>
      </c>
      <c r="M165" s="29">
        <f>J165*INDEX(Productos!$D$2:$D$11,MATCH(Datos_Ventas!D165,Productos!$A$2:$A$11,0))</f>
        <v>75400</v>
      </c>
      <c r="N165" s="29">
        <f t="shared" si="10"/>
        <v>44950</v>
      </c>
      <c r="O165" s="30">
        <f>K165/INDEX(Productos!$E$2:$E$11,MATCH(Datos_Ventas!D165,Productos!$A$2:$A$11,0))-1</f>
        <v>-5.6818181818181768E-2</v>
      </c>
      <c r="P165">
        <f t="shared" si="11"/>
        <v>1</v>
      </c>
    </row>
    <row r="166" spans="1:16" x14ac:dyDescent="0.2">
      <c r="A166">
        <f>Datos_Ventas!A166</f>
        <v>172</v>
      </c>
      <c r="B166" s="13">
        <f>Datos_Ventas!B166</f>
        <v>46135</v>
      </c>
      <c r="C166" t="str">
        <f t="shared" si="8"/>
        <v>04 Abr</v>
      </c>
      <c r="D166" t="str">
        <f t="shared" si="9"/>
        <v>T2</v>
      </c>
      <c r="E166" t="str">
        <f>INDEX(Productos!$B$2:$B$11,MATCH(Datos_Ventas!D166,Productos!$A$2:$A$11,0))</f>
        <v>Alimento Premium 10kg</v>
      </c>
      <c r="F166" t="str">
        <f>INDEX(Productos!$C$2:$C$11,MATCH(Datos_Ventas!D166,Productos!$A$2:$A$11,0))</f>
        <v>Alimentos</v>
      </c>
      <c r="G166" t="str">
        <f>INDEX(Clientes!$B$2:$B$11,MATCH(Datos_Ventas!C166,Clientes!$A$2:$A$11,0))</f>
        <v>Veterinaria Sur</v>
      </c>
      <c r="H166" t="str">
        <f>INDEX(Clientes!$C$2:$C$11,MATCH(Datos_Ventas!C166,Clientes!$A$2:$A$11,0))</f>
        <v>Especializado</v>
      </c>
      <c r="I166" t="str">
        <f>INDEX(Clientes!$D$2:$D$11,MATCH(Datos_Ventas!C166,Clientes!$A$2:$A$11,0))</f>
        <v>Godoy Cruz</v>
      </c>
      <c r="J166">
        <f>Datos_Ventas!E166</f>
        <v>9</v>
      </c>
      <c r="K166" s="29">
        <f>Datos_Ventas!F166</f>
        <v>20390</v>
      </c>
      <c r="L166" s="29">
        <f>Datos_Ventas!G166</f>
        <v>183510</v>
      </c>
      <c r="M166" s="29">
        <f>J166*INDEX(Productos!$D$2:$D$11,MATCH(Datos_Ventas!D166,Productos!$A$2:$A$11,0))</f>
        <v>112500</v>
      </c>
      <c r="N166" s="29">
        <f t="shared" si="10"/>
        <v>71010</v>
      </c>
      <c r="O166" s="30">
        <f>K166/INDEX(Productos!$E$2:$E$11,MATCH(Datos_Ventas!D166,Productos!$A$2:$A$11,0))-1</f>
        <v>7.8835978835978926E-2</v>
      </c>
      <c r="P166">
        <f t="shared" si="11"/>
        <v>1</v>
      </c>
    </row>
    <row r="167" spans="1:16" x14ac:dyDescent="0.2">
      <c r="A167">
        <f>Datos_Ventas!A167</f>
        <v>174</v>
      </c>
      <c r="B167" s="13">
        <f>Datos_Ventas!B167</f>
        <v>46135</v>
      </c>
      <c r="C167" t="str">
        <f t="shared" si="8"/>
        <v>04 Abr</v>
      </c>
      <c r="D167" t="str">
        <f t="shared" si="9"/>
        <v>T2</v>
      </c>
      <c r="E167" t="str">
        <f>INDEX(Productos!$B$2:$B$11,MATCH(Datos_Ventas!D167,Productos!$A$2:$A$11,0))</f>
        <v>Alimento Premium 10kg</v>
      </c>
      <c r="F167" t="str">
        <f>INDEX(Productos!$C$2:$C$11,MATCH(Datos_Ventas!D167,Productos!$A$2:$A$11,0))</f>
        <v>Alimentos</v>
      </c>
      <c r="G167" t="str">
        <f>INDEX(Clientes!$B$2:$B$11,MATCH(Datos_Ventas!C167,Clientes!$A$2:$A$11,0))</f>
        <v>Supermercado Cuyo</v>
      </c>
      <c r="H167" t="str">
        <f>INDEX(Clientes!$C$2:$C$11,MATCH(Datos_Ventas!C167,Clientes!$A$2:$A$11,0))</f>
        <v>Retail</v>
      </c>
      <c r="I167" t="str">
        <f>INDEX(Clientes!$D$2:$D$11,MATCH(Datos_Ventas!C167,Clientes!$A$2:$A$11,0))</f>
        <v>Guaymallén</v>
      </c>
      <c r="J167">
        <f>Datos_Ventas!E167</f>
        <v>8</v>
      </c>
      <c r="K167" s="29">
        <f>Datos_Ventas!F167</f>
        <v>19730</v>
      </c>
      <c r="L167" s="29">
        <f>Datos_Ventas!G167</f>
        <v>157840</v>
      </c>
      <c r="M167" s="29">
        <f>J167*INDEX(Productos!$D$2:$D$11,MATCH(Datos_Ventas!D167,Productos!$A$2:$A$11,0))</f>
        <v>100000</v>
      </c>
      <c r="N167" s="29">
        <f t="shared" si="10"/>
        <v>57840</v>
      </c>
      <c r="O167" s="30">
        <f>K167/INDEX(Productos!$E$2:$E$11,MATCH(Datos_Ventas!D167,Productos!$A$2:$A$11,0))-1</f>
        <v>4.3915343915343907E-2</v>
      </c>
      <c r="P167">
        <f t="shared" si="11"/>
        <v>1</v>
      </c>
    </row>
    <row r="168" spans="1:16" x14ac:dyDescent="0.2">
      <c r="A168">
        <f>Datos_Ventas!A168</f>
        <v>175</v>
      </c>
      <c r="B168" s="13">
        <f>Datos_Ventas!B168</f>
        <v>46136</v>
      </c>
      <c r="C168" t="str">
        <f t="shared" si="8"/>
        <v>04 Abr</v>
      </c>
      <c r="D168" t="str">
        <f t="shared" si="9"/>
        <v>T2</v>
      </c>
      <c r="E168" t="str">
        <f>INDEX(Productos!$B$2:$B$11,MATCH(Datos_Ventas!D168,Productos!$A$2:$A$11,0))</f>
        <v>Alimento Premium 10kg</v>
      </c>
      <c r="F168" t="str">
        <f>INDEX(Productos!$C$2:$C$11,MATCH(Datos_Ventas!D168,Productos!$A$2:$A$11,0))</f>
        <v>Alimentos</v>
      </c>
      <c r="G168" t="str">
        <f>INDEX(Clientes!$B$2:$B$11,MATCH(Datos_Ventas!C168,Clientes!$A$2:$A$11,0))</f>
        <v>Pet Shop Mascotas</v>
      </c>
      <c r="H168" t="str">
        <f>INDEX(Clientes!$C$2:$C$11,MATCH(Datos_Ventas!C168,Clientes!$A$2:$A$11,0))</f>
        <v>Especializado</v>
      </c>
      <c r="I168" t="str">
        <f>INDEX(Clientes!$D$2:$D$11,MATCH(Datos_Ventas!C168,Clientes!$A$2:$A$11,0))</f>
        <v>Mendoza</v>
      </c>
      <c r="J168">
        <f>Datos_Ventas!E168</f>
        <v>5</v>
      </c>
      <c r="K168" s="29">
        <f>Datos_Ventas!F168</f>
        <v>19560</v>
      </c>
      <c r="L168" s="29">
        <f>Datos_Ventas!G168</f>
        <v>97800</v>
      </c>
      <c r="M168" s="29">
        <f>J168*INDEX(Productos!$D$2:$D$11,MATCH(Datos_Ventas!D168,Productos!$A$2:$A$11,0))</f>
        <v>62500</v>
      </c>
      <c r="N168" s="29">
        <f t="shared" si="10"/>
        <v>35300</v>
      </c>
      <c r="O168" s="30">
        <f>K168/INDEX(Productos!$E$2:$E$11,MATCH(Datos_Ventas!D168,Productos!$A$2:$A$11,0))-1</f>
        <v>3.4920634920635019E-2</v>
      </c>
      <c r="P168">
        <f t="shared" si="11"/>
        <v>1</v>
      </c>
    </row>
    <row r="169" spans="1:16" x14ac:dyDescent="0.2">
      <c r="A169">
        <f>Datos_Ventas!A169</f>
        <v>176</v>
      </c>
      <c r="B169" s="13">
        <f>Datos_Ventas!B169</f>
        <v>46138</v>
      </c>
      <c r="C169" t="str">
        <f t="shared" si="8"/>
        <v>04 Abr</v>
      </c>
      <c r="D169" t="str">
        <f t="shared" si="9"/>
        <v>T2</v>
      </c>
      <c r="E169" t="str">
        <f>INDEX(Productos!$B$2:$B$11,MATCH(Datos_Ventas!D169,Productos!$A$2:$A$11,0))</f>
        <v>Alimento Balanceado 15kg</v>
      </c>
      <c r="F169" t="str">
        <f>INDEX(Productos!$C$2:$C$11,MATCH(Datos_Ventas!D169,Productos!$A$2:$A$11,0))</f>
        <v>Alimentos</v>
      </c>
      <c r="G169" t="str">
        <f>INDEX(Clientes!$B$2:$B$11,MATCH(Datos_Ventas!C169,Clientes!$A$2:$A$11,0))</f>
        <v>Supermercado Cuyo</v>
      </c>
      <c r="H169" t="str">
        <f>INDEX(Clientes!$C$2:$C$11,MATCH(Datos_Ventas!C169,Clientes!$A$2:$A$11,0))</f>
        <v>Retail</v>
      </c>
      <c r="I169" t="str">
        <f>INDEX(Clientes!$D$2:$D$11,MATCH(Datos_Ventas!C169,Clientes!$A$2:$A$11,0))</f>
        <v>Guaymallén</v>
      </c>
      <c r="J169">
        <f>Datos_Ventas!E169</f>
        <v>9</v>
      </c>
      <c r="K169" s="29">
        <f>Datos_Ventas!F169</f>
        <v>13590</v>
      </c>
      <c r="L169" s="29">
        <f>Datos_Ventas!G169</f>
        <v>122310</v>
      </c>
      <c r="M169" s="29">
        <f>J169*INDEX(Productos!$D$2:$D$11,MATCH(Datos_Ventas!D169,Productos!$A$2:$A$11,0))</f>
        <v>88200</v>
      </c>
      <c r="N169" s="29">
        <f t="shared" si="10"/>
        <v>34110</v>
      </c>
      <c r="O169" s="30">
        <f>K169/INDEX(Productos!$E$2:$E$11,MATCH(Datos_Ventas!D169,Productos!$A$2:$A$11,0))-1</f>
        <v>-6.2758620689655209E-2</v>
      </c>
      <c r="P169">
        <f t="shared" si="11"/>
        <v>1</v>
      </c>
    </row>
    <row r="170" spans="1:16" x14ac:dyDescent="0.2">
      <c r="A170">
        <f>Datos_Ventas!A170</f>
        <v>177</v>
      </c>
      <c r="B170" s="13">
        <f>Datos_Ventas!B170</f>
        <v>46138</v>
      </c>
      <c r="C170" t="str">
        <f t="shared" si="8"/>
        <v>04 Abr</v>
      </c>
      <c r="D170" t="str">
        <f t="shared" si="9"/>
        <v>T2</v>
      </c>
      <c r="E170" t="str">
        <f>INDEX(Productos!$B$2:$B$11,MATCH(Datos_Ventas!D170,Productos!$A$2:$A$11,0))</f>
        <v>Arena Sanitaria</v>
      </c>
      <c r="F170" t="str">
        <f>INDEX(Productos!$C$2:$C$11,MATCH(Datos_Ventas!D170,Productos!$A$2:$A$11,0))</f>
        <v>Higiene</v>
      </c>
      <c r="G170" t="str">
        <f>INDEX(Clientes!$B$2:$B$11,MATCH(Datos_Ventas!C170,Clientes!$A$2:$A$11,0))</f>
        <v>Autoservicio Norte</v>
      </c>
      <c r="H170" t="str">
        <f>INDEX(Clientes!$C$2:$C$11,MATCH(Datos_Ventas!C170,Clientes!$A$2:$A$11,0))</f>
        <v>Retail</v>
      </c>
      <c r="I170" t="str">
        <f>INDEX(Clientes!$D$2:$D$11,MATCH(Datos_Ventas!C170,Clientes!$A$2:$A$11,0))</f>
        <v>Las Heras</v>
      </c>
      <c r="J170">
        <f>Datos_Ventas!E170</f>
        <v>31</v>
      </c>
      <c r="K170" s="29">
        <f>Datos_Ventas!F170</f>
        <v>4730</v>
      </c>
      <c r="L170" s="29">
        <f>Datos_Ventas!G170</f>
        <v>146630</v>
      </c>
      <c r="M170" s="29">
        <f>J170*INDEX(Productos!$D$2:$D$11,MATCH(Datos_Ventas!D170,Productos!$A$2:$A$11,0))</f>
        <v>80600</v>
      </c>
      <c r="N170" s="29">
        <f t="shared" si="10"/>
        <v>66030</v>
      </c>
      <c r="O170" s="30">
        <f>K170/INDEX(Productos!$E$2:$E$11,MATCH(Datos_Ventas!D170,Productos!$A$2:$A$11,0))-1</f>
        <v>7.4999999999999956E-2</v>
      </c>
      <c r="P170">
        <f t="shared" si="11"/>
        <v>1</v>
      </c>
    </row>
    <row r="171" spans="1:16" x14ac:dyDescent="0.2">
      <c r="A171">
        <f>Datos_Ventas!A171</f>
        <v>178</v>
      </c>
      <c r="B171" s="13">
        <f>Datos_Ventas!B171</f>
        <v>46138</v>
      </c>
      <c r="C171" t="str">
        <f t="shared" si="8"/>
        <v>04 Abr</v>
      </c>
      <c r="D171" t="str">
        <f t="shared" si="9"/>
        <v>T2</v>
      </c>
      <c r="E171" t="str">
        <f>INDEX(Productos!$B$2:$B$11,MATCH(Datos_Ventas!D171,Productos!$A$2:$A$11,0))</f>
        <v>Aceite Omega</v>
      </c>
      <c r="F171" t="str">
        <f>INDEX(Productos!$C$2:$C$11,MATCH(Datos_Ventas!D171,Productos!$A$2:$A$11,0))</f>
        <v>Suplementos</v>
      </c>
      <c r="G171" t="str">
        <f>INDEX(Clientes!$B$2:$B$11,MATCH(Datos_Ventas!C171,Clientes!$A$2:$A$11,0))</f>
        <v>Kiosco La Esquina</v>
      </c>
      <c r="H171" t="str">
        <f>INDEX(Clientes!$C$2:$C$11,MATCH(Datos_Ventas!C171,Clientes!$A$2:$A$11,0))</f>
        <v>Minorista</v>
      </c>
      <c r="I171" t="str">
        <f>INDEX(Clientes!$D$2:$D$11,MATCH(Datos_Ventas!C171,Clientes!$A$2:$A$11,0))</f>
        <v>Godoy Cruz</v>
      </c>
      <c r="J171">
        <f>Datos_Ventas!E171</f>
        <v>37</v>
      </c>
      <c r="K171" s="29">
        <f>Datos_Ventas!F171</f>
        <v>5710</v>
      </c>
      <c r="L171" s="29">
        <f>Datos_Ventas!G171</f>
        <v>211270</v>
      </c>
      <c r="M171" s="29">
        <f>J171*INDEX(Productos!$D$2:$D$11,MATCH(Datos_Ventas!D171,Productos!$A$2:$A$11,0))</f>
        <v>114700</v>
      </c>
      <c r="N171" s="29">
        <f t="shared" si="10"/>
        <v>96570</v>
      </c>
      <c r="O171" s="30">
        <f>K171/INDEX(Productos!$E$2:$E$11,MATCH(Datos_Ventas!D171,Productos!$A$2:$A$11,0))-1</f>
        <v>1.9642857142857073E-2</v>
      </c>
      <c r="P171">
        <f t="shared" si="11"/>
        <v>1</v>
      </c>
    </row>
    <row r="172" spans="1:16" x14ac:dyDescent="0.2">
      <c r="A172">
        <f>Datos_Ventas!A172</f>
        <v>179</v>
      </c>
      <c r="B172" s="13">
        <f>Datos_Ventas!B172</f>
        <v>46138</v>
      </c>
      <c r="C172" t="str">
        <f t="shared" si="8"/>
        <v>04 Abr</v>
      </c>
      <c r="D172" t="str">
        <f t="shared" si="9"/>
        <v>T2</v>
      </c>
      <c r="E172" t="str">
        <f>INDEX(Productos!$B$2:$B$11,MATCH(Datos_Ventas!D172,Productos!$A$2:$A$11,0))</f>
        <v>Alimento Balanceado 15kg</v>
      </c>
      <c r="F172" t="str">
        <f>INDEX(Productos!$C$2:$C$11,MATCH(Datos_Ventas!D172,Productos!$A$2:$A$11,0))</f>
        <v>Alimentos</v>
      </c>
      <c r="G172" t="str">
        <f>INDEX(Clientes!$B$2:$B$11,MATCH(Datos_Ventas!C172,Clientes!$A$2:$A$11,0))</f>
        <v>Despensa Vero</v>
      </c>
      <c r="H172" t="str">
        <f>INDEX(Clientes!$C$2:$C$11,MATCH(Datos_Ventas!C172,Clientes!$A$2:$A$11,0))</f>
        <v>Minorista</v>
      </c>
      <c r="I172" t="str">
        <f>INDEX(Clientes!$D$2:$D$11,MATCH(Datos_Ventas!C172,Clientes!$A$2:$A$11,0))</f>
        <v>Mendoza</v>
      </c>
      <c r="J172">
        <f>Datos_Ventas!E172</f>
        <v>37</v>
      </c>
      <c r="K172" s="29">
        <f>Datos_Ventas!F172</f>
        <v>14590</v>
      </c>
      <c r="L172" s="29">
        <f>Datos_Ventas!G172</f>
        <v>539830</v>
      </c>
      <c r="M172" s="29">
        <f>J172*INDEX(Productos!$D$2:$D$11,MATCH(Datos_Ventas!D172,Productos!$A$2:$A$11,0))</f>
        <v>362600</v>
      </c>
      <c r="N172" s="29">
        <f t="shared" si="10"/>
        <v>177230</v>
      </c>
      <c r="O172" s="30">
        <f>K172/INDEX(Productos!$E$2:$E$11,MATCH(Datos_Ventas!D172,Productos!$A$2:$A$11,0))-1</f>
        <v>6.2068965517241281E-3</v>
      </c>
      <c r="P172">
        <f t="shared" si="11"/>
        <v>1</v>
      </c>
    </row>
    <row r="173" spans="1:16" x14ac:dyDescent="0.2">
      <c r="A173">
        <f>Datos_Ventas!A173</f>
        <v>180</v>
      </c>
      <c r="B173" s="13">
        <f>Datos_Ventas!B173</f>
        <v>46140</v>
      </c>
      <c r="C173" t="str">
        <f t="shared" si="8"/>
        <v>04 Abr</v>
      </c>
      <c r="D173" t="str">
        <f t="shared" si="9"/>
        <v>T2</v>
      </c>
      <c r="E173" t="str">
        <f>INDEX(Productos!$B$2:$B$11,MATCH(Datos_Ventas!D173,Productos!$A$2:$A$11,0))</f>
        <v>Collar Ajustable</v>
      </c>
      <c r="F173" t="str">
        <f>INDEX(Productos!$C$2:$C$11,MATCH(Datos_Ventas!D173,Productos!$A$2:$A$11,0))</f>
        <v>Accesorios</v>
      </c>
      <c r="G173" t="str">
        <f>INDEX(Clientes!$B$2:$B$11,MATCH(Datos_Ventas!C173,Clientes!$A$2:$A$11,0))</f>
        <v>Hiper Centro</v>
      </c>
      <c r="H173" t="str">
        <f>INDEX(Clientes!$C$2:$C$11,MATCH(Datos_Ventas!C173,Clientes!$A$2:$A$11,0))</f>
        <v>Retail</v>
      </c>
      <c r="I173" t="str">
        <f>INDEX(Clientes!$D$2:$D$11,MATCH(Datos_Ventas!C173,Clientes!$A$2:$A$11,0))</f>
        <v>Luján de Cuyo</v>
      </c>
      <c r="J173">
        <f>Datos_Ventas!E173</f>
        <v>29</v>
      </c>
      <c r="K173" s="29">
        <f>Datos_Ventas!F173</f>
        <v>3770</v>
      </c>
      <c r="L173" s="29">
        <f>Datos_Ventas!G173</f>
        <v>109330</v>
      </c>
      <c r="M173" s="29">
        <f>J173*INDEX(Productos!$D$2:$D$11,MATCH(Datos_Ventas!D173,Productos!$A$2:$A$11,0))</f>
        <v>55100</v>
      </c>
      <c r="N173" s="29">
        <f t="shared" si="10"/>
        <v>54230</v>
      </c>
      <c r="O173" s="30">
        <f>K173/INDEX(Productos!$E$2:$E$11,MATCH(Datos_Ventas!D173,Productos!$A$2:$A$11,0))-1</f>
        <v>4.7222222222222276E-2</v>
      </c>
      <c r="P173">
        <f t="shared" si="11"/>
        <v>1</v>
      </c>
    </row>
    <row r="174" spans="1:16" x14ac:dyDescent="0.2">
      <c r="A174">
        <f>Datos_Ventas!A174</f>
        <v>181</v>
      </c>
      <c r="B174" s="13">
        <f>Datos_Ventas!B174</f>
        <v>46143</v>
      </c>
      <c r="C174" t="str">
        <f t="shared" si="8"/>
        <v>05 May</v>
      </c>
      <c r="D174" t="str">
        <f t="shared" si="9"/>
        <v>T2</v>
      </c>
      <c r="E174" t="str">
        <f>INDEX(Productos!$B$2:$B$11,MATCH(Datos_Ventas!D174,Productos!$A$2:$A$11,0))</f>
        <v>Shampoo Mascotas</v>
      </c>
      <c r="F174" t="str">
        <f>INDEX(Productos!$C$2:$C$11,MATCH(Datos_Ventas!D174,Productos!$A$2:$A$11,0))</f>
        <v>Higiene</v>
      </c>
      <c r="G174" t="str">
        <f>INDEX(Clientes!$B$2:$B$11,MATCH(Datos_Ventas!C174,Clientes!$A$2:$A$11,0))</f>
        <v>Hiper Centro</v>
      </c>
      <c r="H174" t="str">
        <f>INDEX(Clientes!$C$2:$C$11,MATCH(Datos_Ventas!C174,Clientes!$A$2:$A$11,0))</f>
        <v>Retail</v>
      </c>
      <c r="I174" t="str">
        <f>INDEX(Clientes!$D$2:$D$11,MATCH(Datos_Ventas!C174,Clientes!$A$2:$A$11,0))</f>
        <v>Luján de Cuyo</v>
      </c>
      <c r="J174">
        <f>Datos_Ventas!E174</f>
        <v>40</v>
      </c>
      <c r="K174" s="29">
        <f>Datos_Ventas!F174</f>
        <v>4020</v>
      </c>
      <c r="L174" s="29">
        <f>Datos_Ventas!G174</f>
        <v>160800</v>
      </c>
      <c r="M174" s="29">
        <f>J174*INDEX(Productos!$D$2:$D$11,MATCH(Datos_Ventas!D174,Productos!$A$2:$A$11,0))</f>
        <v>88000</v>
      </c>
      <c r="N174" s="29">
        <f t="shared" si="10"/>
        <v>72800</v>
      </c>
      <c r="O174" s="30">
        <f>K174/INDEX(Productos!$E$2:$E$11,MATCH(Datos_Ventas!D174,Productos!$A$2:$A$11,0))-1</f>
        <v>3.076923076923066E-2</v>
      </c>
      <c r="P174">
        <f t="shared" si="11"/>
        <v>1</v>
      </c>
    </row>
    <row r="175" spans="1:16" x14ac:dyDescent="0.2">
      <c r="A175">
        <f>Datos_Ventas!A175</f>
        <v>182</v>
      </c>
      <c r="B175" s="13">
        <f>Datos_Ventas!B175</f>
        <v>46143</v>
      </c>
      <c r="C175" t="str">
        <f t="shared" si="8"/>
        <v>05 May</v>
      </c>
      <c r="D175" t="str">
        <f t="shared" si="9"/>
        <v>T2</v>
      </c>
      <c r="E175" t="str">
        <f>INDEX(Productos!$B$2:$B$11,MATCH(Datos_Ventas!D175,Productos!$A$2:$A$11,0))</f>
        <v>Shampoo Mascotas</v>
      </c>
      <c r="F175" t="str">
        <f>INDEX(Productos!$C$2:$C$11,MATCH(Datos_Ventas!D175,Productos!$A$2:$A$11,0))</f>
        <v>Higiene</v>
      </c>
      <c r="G175" t="str">
        <f>INDEX(Clientes!$B$2:$B$11,MATCH(Datos_Ventas!C175,Clientes!$A$2:$A$11,0))</f>
        <v>Autoservicio Norte</v>
      </c>
      <c r="H175" t="str">
        <f>INDEX(Clientes!$C$2:$C$11,MATCH(Datos_Ventas!C175,Clientes!$A$2:$A$11,0))</f>
        <v>Retail</v>
      </c>
      <c r="I175" t="str">
        <f>INDEX(Clientes!$D$2:$D$11,MATCH(Datos_Ventas!C175,Clientes!$A$2:$A$11,0))</f>
        <v>Las Heras</v>
      </c>
      <c r="J175">
        <f>Datos_Ventas!E175</f>
        <v>26</v>
      </c>
      <c r="K175" s="29">
        <f>Datos_Ventas!F175</f>
        <v>3870</v>
      </c>
      <c r="L175" s="29">
        <f>Datos_Ventas!G175</f>
        <v>100620</v>
      </c>
      <c r="M175" s="29">
        <f>J175*INDEX(Productos!$D$2:$D$11,MATCH(Datos_Ventas!D175,Productos!$A$2:$A$11,0))</f>
        <v>57200</v>
      </c>
      <c r="N175" s="29">
        <f t="shared" si="10"/>
        <v>43420</v>
      </c>
      <c r="O175" s="30">
        <f>K175/INDEX(Productos!$E$2:$E$11,MATCH(Datos_Ventas!D175,Productos!$A$2:$A$11,0))-1</f>
        <v>-7.692307692307665E-3</v>
      </c>
      <c r="P175">
        <f t="shared" si="11"/>
        <v>1</v>
      </c>
    </row>
    <row r="176" spans="1:16" x14ac:dyDescent="0.2">
      <c r="A176">
        <f>Datos_Ventas!A176</f>
        <v>183</v>
      </c>
      <c r="B176" s="13">
        <f>Datos_Ventas!B176</f>
        <v>46143</v>
      </c>
      <c r="C176" t="str">
        <f t="shared" si="8"/>
        <v>05 May</v>
      </c>
      <c r="D176" t="str">
        <f t="shared" si="9"/>
        <v>T2</v>
      </c>
      <c r="E176" t="str">
        <f>INDEX(Productos!$B$2:$B$11,MATCH(Datos_Ventas!D176,Productos!$A$2:$A$11,0))</f>
        <v>Alimento Balanceado 15kg</v>
      </c>
      <c r="F176" t="str">
        <f>INDEX(Productos!$C$2:$C$11,MATCH(Datos_Ventas!D176,Productos!$A$2:$A$11,0))</f>
        <v>Alimentos</v>
      </c>
      <c r="G176" t="str">
        <f>INDEX(Clientes!$B$2:$B$11,MATCH(Datos_Ventas!C176,Clientes!$A$2:$A$11,0))</f>
        <v>Kiosco La Esquina</v>
      </c>
      <c r="H176" t="str">
        <f>INDEX(Clientes!$C$2:$C$11,MATCH(Datos_Ventas!C176,Clientes!$A$2:$A$11,0))</f>
        <v>Minorista</v>
      </c>
      <c r="I176" t="str">
        <f>INDEX(Clientes!$D$2:$D$11,MATCH(Datos_Ventas!C176,Clientes!$A$2:$A$11,0))</f>
        <v>Godoy Cruz</v>
      </c>
      <c r="J176">
        <f>Datos_Ventas!E176</f>
        <v>6</v>
      </c>
      <c r="K176" s="29">
        <f>Datos_Ventas!F176</f>
        <v>14890</v>
      </c>
      <c r="L176" s="29">
        <f>Datos_Ventas!G176</f>
        <v>89340</v>
      </c>
      <c r="M176" s="29">
        <f>J176*INDEX(Productos!$D$2:$D$11,MATCH(Datos_Ventas!D176,Productos!$A$2:$A$11,0))</f>
        <v>58800</v>
      </c>
      <c r="N176" s="29">
        <f t="shared" si="10"/>
        <v>30540</v>
      </c>
      <c r="O176" s="30">
        <f>K176/INDEX(Productos!$E$2:$E$11,MATCH(Datos_Ventas!D176,Productos!$A$2:$A$11,0))-1</f>
        <v>2.6896551724137963E-2</v>
      </c>
      <c r="P176">
        <f t="shared" si="11"/>
        <v>1</v>
      </c>
    </row>
    <row r="177" spans="1:16" x14ac:dyDescent="0.2">
      <c r="A177">
        <f>Datos_Ventas!A177</f>
        <v>184</v>
      </c>
      <c r="B177" s="13">
        <f>Datos_Ventas!B177</f>
        <v>46143</v>
      </c>
      <c r="C177" t="str">
        <f t="shared" si="8"/>
        <v>05 May</v>
      </c>
      <c r="D177" t="str">
        <f t="shared" si="9"/>
        <v>T2</v>
      </c>
      <c r="E177" t="str">
        <f>INDEX(Productos!$B$2:$B$11,MATCH(Datos_Ventas!D177,Productos!$A$2:$A$11,0))</f>
        <v>Galletas Perro</v>
      </c>
      <c r="F177" t="str">
        <f>INDEX(Productos!$C$2:$C$11,MATCH(Datos_Ventas!D177,Productos!$A$2:$A$11,0))</f>
        <v>Snacks</v>
      </c>
      <c r="G177" t="str">
        <f>INDEX(Clientes!$B$2:$B$11,MATCH(Datos_Ventas!C177,Clientes!$A$2:$A$11,0))</f>
        <v>Mayorista del Sol</v>
      </c>
      <c r="H177" t="str">
        <f>INDEX(Clientes!$C$2:$C$11,MATCH(Datos_Ventas!C177,Clientes!$A$2:$A$11,0))</f>
        <v>Mayorista</v>
      </c>
      <c r="I177" t="str">
        <f>INDEX(Clientes!$D$2:$D$11,MATCH(Datos_Ventas!C177,Clientes!$A$2:$A$11,0))</f>
        <v>San Martín</v>
      </c>
      <c r="J177">
        <f>Datos_Ventas!E177</f>
        <v>19</v>
      </c>
      <c r="K177" s="29">
        <f>Datos_Ventas!F177</f>
        <v>2520</v>
      </c>
      <c r="L177" s="29">
        <f>Datos_Ventas!G177</f>
        <v>47880</v>
      </c>
      <c r="M177" s="29">
        <f>J177*INDEX(Productos!$D$2:$D$11,MATCH(Datos_Ventas!D177,Productos!$A$2:$A$11,0))</f>
        <v>28500</v>
      </c>
      <c r="N177" s="29">
        <f t="shared" si="10"/>
        <v>19380</v>
      </c>
      <c r="O177" s="30">
        <f>K177/INDEX(Productos!$E$2:$E$11,MATCH(Datos_Ventas!D177,Productos!$A$2:$A$11,0))-1</f>
        <v>-6.6666666666666652E-2</v>
      </c>
      <c r="P177">
        <f t="shared" si="11"/>
        <v>1</v>
      </c>
    </row>
    <row r="178" spans="1:16" x14ac:dyDescent="0.2">
      <c r="A178">
        <f>Datos_Ventas!A178</f>
        <v>185</v>
      </c>
      <c r="B178" s="13">
        <f>Datos_Ventas!B178</f>
        <v>46144</v>
      </c>
      <c r="C178" t="str">
        <f t="shared" si="8"/>
        <v>05 May</v>
      </c>
      <c r="D178" t="str">
        <f t="shared" si="9"/>
        <v>T2</v>
      </c>
      <c r="E178" t="str">
        <f>INDEX(Productos!$B$2:$B$11,MATCH(Datos_Ventas!D178,Productos!$A$2:$A$11,0))</f>
        <v>Alimento Premium 10kg</v>
      </c>
      <c r="F178" t="str">
        <f>INDEX(Productos!$C$2:$C$11,MATCH(Datos_Ventas!D178,Productos!$A$2:$A$11,0))</f>
        <v>Alimentos</v>
      </c>
      <c r="G178" t="str">
        <f>INDEX(Clientes!$B$2:$B$11,MATCH(Datos_Ventas!C178,Clientes!$A$2:$A$11,0))</f>
        <v>Autoservicio Norte</v>
      </c>
      <c r="H178" t="str">
        <f>INDEX(Clientes!$C$2:$C$11,MATCH(Datos_Ventas!C178,Clientes!$A$2:$A$11,0))</f>
        <v>Retail</v>
      </c>
      <c r="I178" t="str">
        <f>INDEX(Clientes!$D$2:$D$11,MATCH(Datos_Ventas!C178,Clientes!$A$2:$A$11,0))</f>
        <v>Las Heras</v>
      </c>
      <c r="J178">
        <f>Datos_Ventas!E178</f>
        <v>31</v>
      </c>
      <c r="K178" s="29">
        <f>Datos_Ventas!F178</f>
        <v>17550</v>
      </c>
      <c r="L178" s="29">
        <f>Datos_Ventas!G178</f>
        <v>544050</v>
      </c>
      <c r="M178" s="29">
        <f>J178*INDEX(Productos!$D$2:$D$11,MATCH(Datos_Ventas!D178,Productos!$A$2:$A$11,0))</f>
        <v>387500</v>
      </c>
      <c r="N178" s="29">
        <f t="shared" si="10"/>
        <v>156550</v>
      </c>
      <c r="O178" s="30">
        <f>K178/INDEX(Productos!$E$2:$E$11,MATCH(Datos_Ventas!D178,Productos!$A$2:$A$11,0))-1</f>
        <v>-7.1428571428571397E-2</v>
      </c>
      <c r="P178">
        <f t="shared" si="11"/>
        <v>1</v>
      </c>
    </row>
    <row r="179" spans="1:16" x14ac:dyDescent="0.2">
      <c r="A179">
        <f>Datos_Ventas!A179</f>
        <v>186</v>
      </c>
      <c r="B179" s="13">
        <f>Datos_Ventas!B179</f>
        <v>46147</v>
      </c>
      <c r="C179" t="str">
        <f t="shared" si="8"/>
        <v>05 May</v>
      </c>
      <c r="D179" t="str">
        <f t="shared" si="9"/>
        <v>T2</v>
      </c>
      <c r="E179" t="str">
        <f>INDEX(Productos!$B$2:$B$11,MATCH(Datos_Ventas!D179,Productos!$A$2:$A$11,0))</f>
        <v>Correa Reforzada</v>
      </c>
      <c r="F179" t="str">
        <f>INDEX(Productos!$C$2:$C$11,MATCH(Datos_Ventas!D179,Productos!$A$2:$A$11,0))</f>
        <v>Accesorios</v>
      </c>
      <c r="G179" t="str">
        <f>INDEX(Clientes!$B$2:$B$11,MATCH(Datos_Ventas!C179,Clientes!$A$2:$A$11,0))</f>
        <v>Distribuidora Andes</v>
      </c>
      <c r="H179" t="str">
        <f>INDEX(Clientes!$C$2:$C$11,MATCH(Datos_Ventas!C179,Clientes!$A$2:$A$11,0))</f>
        <v>Mayorista</v>
      </c>
      <c r="I179" t="str">
        <f>INDEX(Clientes!$D$2:$D$11,MATCH(Datos_Ventas!C179,Clientes!$A$2:$A$11,0))</f>
        <v>Mendoza</v>
      </c>
      <c r="J179">
        <f>Datos_Ventas!E179</f>
        <v>26</v>
      </c>
      <c r="K179" s="29">
        <f>Datos_Ventas!F179</f>
        <v>5430</v>
      </c>
      <c r="L179" s="29">
        <f>Datos_Ventas!G179</f>
        <v>141180</v>
      </c>
      <c r="M179" s="29">
        <f>J179*INDEX(Productos!$D$2:$D$11,MATCH(Datos_Ventas!D179,Productos!$A$2:$A$11,0))</f>
        <v>72800</v>
      </c>
      <c r="N179" s="29">
        <f t="shared" si="10"/>
        <v>68380</v>
      </c>
      <c r="O179" s="30">
        <f>K179/INDEX(Productos!$E$2:$E$11,MATCH(Datos_Ventas!D179,Productos!$A$2:$A$11,0))-1</f>
        <v>4.4230769230769296E-2</v>
      </c>
      <c r="P179">
        <f t="shared" si="11"/>
        <v>1</v>
      </c>
    </row>
    <row r="180" spans="1:16" x14ac:dyDescent="0.2">
      <c r="A180">
        <f>Datos_Ventas!A180</f>
        <v>187</v>
      </c>
      <c r="B180" s="13">
        <f>Datos_Ventas!B180</f>
        <v>46147</v>
      </c>
      <c r="C180" t="str">
        <f t="shared" si="8"/>
        <v>05 May</v>
      </c>
      <c r="D180" t="str">
        <f t="shared" si="9"/>
        <v>T2</v>
      </c>
      <c r="E180" t="str">
        <f>INDEX(Productos!$B$2:$B$11,MATCH(Datos_Ventas!D180,Productos!$A$2:$A$11,0))</f>
        <v>Juguete Pelota</v>
      </c>
      <c r="F180" t="str">
        <f>INDEX(Productos!$C$2:$C$11,MATCH(Datos_Ventas!D180,Productos!$A$2:$A$11,0))</f>
        <v>Accesorios</v>
      </c>
      <c r="G180" t="str">
        <f>INDEX(Clientes!$B$2:$B$11,MATCH(Datos_Ventas!C180,Clientes!$A$2:$A$11,0))</f>
        <v>Kiosco La Esquina</v>
      </c>
      <c r="H180" t="str">
        <f>INDEX(Clientes!$C$2:$C$11,MATCH(Datos_Ventas!C180,Clientes!$A$2:$A$11,0))</f>
        <v>Minorista</v>
      </c>
      <c r="I180" t="str">
        <f>INDEX(Clientes!$D$2:$D$11,MATCH(Datos_Ventas!C180,Clientes!$A$2:$A$11,0))</f>
        <v>Godoy Cruz</v>
      </c>
      <c r="J180">
        <f>Datos_Ventas!E180</f>
        <v>18</v>
      </c>
      <c r="K180" s="29">
        <f>Datos_Ventas!F180</f>
        <v>1840</v>
      </c>
      <c r="L180" s="29">
        <f>Datos_Ventas!G180</f>
        <v>33120</v>
      </c>
      <c r="M180" s="29">
        <f>J180*INDEX(Productos!$D$2:$D$11,MATCH(Datos_Ventas!D180,Productos!$A$2:$A$11,0))</f>
        <v>16200</v>
      </c>
      <c r="N180" s="29">
        <f t="shared" si="10"/>
        <v>16920</v>
      </c>
      <c r="O180" s="30">
        <f>K180/INDEX(Productos!$E$2:$E$11,MATCH(Datos_Ventas!D180,Productos!$A$2:$A$11,0))-1</f>
        <v>2.2222222222222143E-2</v>
      </c>
      <c r="P180">
        <f t="shared" si="11"/>
        <v>1</v>
      </c>
    </row>
    <row r="181" spans="1:16" x14ac:dyDescent="0.2">
      <c r="A181">
        <f>Datos_Ventas!A181</f>
        <v>188</v>
      </c>
      <c r="B181" s="13">
        <f>Datos_Ventas!B181</f>
        <v>46148</v>
      </c>
      <c r="C181" t="str">
        <f t="shared" si="8"/>
        <v>05 May</v>
      </c>
      <c r="D181" t="str">
        <f t="shared" si="9"/>
        <v>T2</v>
      </c>
      <c r="E181" t="str">
        <f>INDEX(Productos!$B$2:$B$11,MATCH(Datos_Ventas!D181,Productos!$A$2:$A$11,0))</f>
        <v>Collar Ajustable</v>
      </c>
      <c r="F181" t="str">
        <f>INDEX(Productos!$C$2:$C$11,MATCH(Datos_Ventas!D181,Productos!$A$2:$A$11,0))</f>
        <v>Accesorios</v>
      </c>
      <c r="G181" t="str">
        <f>INDEX(Clientes!$B$2:$B$11,MATCH(Datos_Ventas!C181,Clientes!$A$2:$A$11,0))</f>
        <v>Kiosco La Esquina</v>
      </c>
      <c r="H181" t="str">
        <f>INDEX(Clientes!$C$2:$C$11,MATCH(Datos_Ventas!C181,Clientes!$A$2:$A$11,0))</f>
        <v>Minorista</v>
      </c>
      <c r="I181" t="str">
        <f>INDEX(Clientes!$D$2:$D$11,MATCH(Datos_Ventas!C181,Clientes!$A$2:$A$11,0))</f>
        <v>Godoy Cruz</v>
      </c>
      <c r="J181">
        <f>Datos_Ventas!E181</f>
        <v>37</v>
      </c>
      <c r="K181" s="29">
        <f>Datos_Ventas!F181</f>
        <v>3690</v>
      </c>
      <c r="L181" s="29">
        <f>Datos_Ventas!G181</f>
        <v>136530</v>
      </c>
      <c r="M181" s="29">
        <f>J181*INDEX(Productos!$D$2:$D$11,MATCH(Datos_Ventas!D181,Productos!$A$2:$A$11,0))</f>
        <v>70300</v>
      </c>
      <c r="N181" s="29">
        <f t="shared" si="10"/>
        <v>66230</v>
      </c>
      <c r="O181" s="30">
        <f>K181/INDEX(Productos!$E$2:$E$11,MATCH(Datos_Ventas!D181,Productos!$A$2:$A$11,0))-1</f>
        <v>2.4999999999999911E-2</v>
      </c>
      <c r="P181">
        <f t="shared" si="11"/>
        <v>1</v>
      </c>
    </row>
    <row r="182" spans="1:16" x14ac:dyDescent="0.2">
      <c r="A182">
        <f>Datos_Ventas!A182</f>
        <v>189</v>
      </c>
      <c r="B182" s="13">
        <f>Datos_Ventas!B182</f>
        <v>46148</v>
      </c>
      <c r="C182" t="str">
        <f t="shared" si="8"/>
        <v>05 May</v>
      </c>
      <c r="D182" t="str">
        <f t="shared" si="9"/>
        <v>T2</v>
      </c>
      <c r="E182" t="str">
        <f>INDEX(Productos!$B$2:$B$11,MATCH(Datos_Ventas!D182,Productos!$A$2:$A$11,0))</f>
        <v>Collar Ajustable</v>
      </c>
      <c r="F182" t="str">
        <f>INDEX(Productos!$C$2:$C$11,MATCH(Datos_Ventas!D182,Productos!$A$2:$A$11,0))</f>
        <v>Accesorios</v>
      </c>
      <c r="G182" t="str">
        <f>INDEX(Clientes!$B$2:$B$11,MATCH(Datos_Ventas!C182,Clientes!$A$2:$A$11,0))</f>
        <v>Hiper Centro</v>
      </c>
      <c r="H182" t="str">
        <f>INDEX(Clientes!$C$2:$C$11,MATCH(Datos_Ventas!C182,Clientes!$A$2:$A$11,0))</f>
        <v>Retail</v>
      </c>
      <c r="I182" t="str">
        <f>INDEX(Clientes!$D$2:$D$11,MATCH(Datos_Ventas!C182,Clientes!$A$2:$A$11,0))</f>
        <v>Luján de Cuyo</v>
      </c>
      <c r="J182">
        <f>Datos_Ventas!E182</f>
        <v>18</v>
      </c>
      <c r="K182" s="29">
        <f>Datos_Ventas!F182</f>
        <v>3360</v>
      </c>
      <c r="L182" s="29">
        <f>Datos_Ventas!G182</f>
        <v>60480</v>
      </c>
      <c r="M182" s="29">
        <f>J182*INDEX(Productos!$D$2:$D$11,MATCH(Datos_Ventas!D182,Productos!$A$2:$A$11,0))</f>
        <v>34200</v>
      </c>
      <c r="N182" s="29">
        <f t="shared" si="10"/>
        <v>26280</v>
      </c>
      <c r="O182" s="30">
        <f>K182/INDEX(Productos!$E$2:$E$11,MATCH(Datos_Ventas!D182,Productos!$A$2:$A$11,0))-1</f>
        <v>-6.6666666666666652E-2</v>
      </c>
      <c r="P182">
        <f t="shared" si="11"/>
        <v>1</v>
      </c>
    </row>
    <row r="183" spans="1:16" x14ac:dyDescent="0.2">
      <c r="A183">
        <f>Datos_Ventas!A183</f>
        <v>190</v>
      </c>
      <c r="B183" s="13">
        <f>Datos_Ventas!B183</f>
        <v>46148</v>
      </c>
      <c r="C183" t="str">
        <f t="shared" si="8"/>
        <v>05 May</v>
      </c>
      <c r="D183" t="str">
        <f t="shared" si="9"/>
        <v>T2</v>
      </c>
      <c r="E183" t="str">
        <f>INDEX(Productos!$B$2:$B$11,MATCH(Datos_Ventas!D183,Productos!$A$2:$A$11,0))</f>
        <v>Correa Reforzada</v>
      </c>
      <c r="F183" t="str">
        <f>INDEX(Productos!$C$2:$C$11,MATCH(Datos_Ventas!D183,Productos!$A$2:$A$11,0))</f>
        <v>Accesorios</v>
      </c>
      <c r="G183" t="str">
        <f>INDEX(Clientes!$B$2:$B$11,MATCH(Datos_Ventas!C183,Clientes!$A$2:$A$11,0))</f>
        <v>Kiosco La Esquina</v>
      </c>
      <c r="H183" t="str">
        <f>INDEX(Clientes!$C$2:$C$11,MATCH(Datos_Ventas!C183,Clientes!$A$2:$A$11,0))</f>
        <v>Minorista</v>
      </c>
      <c r="I183" t="str">
        <f>INDEX(Clientes!$D$2:$D$11,MATCH(Datos_Ventas!C183,Clientes!$A$2:$A$11,0))</f>
        <v>Godoy Cruz</v>
      </c>
      <c r="J183">
        <f>Datos_Ventas!E183</f>
        <v>23</v>
      </c>
      <c r="K183" s="29">
        <f>Datos_Ventas!F183</f>
        <v>4890</v>
      </c>
      <c r="L183" s="29">
        <f>Datos_Ventas!G183</f>
        <v>112470</v>
      </c>
      <c r="M183" s="29">
        <f>J183*INDEX(Productos!$D$2:$D$11,MATCH(Datos_Ventas!D183,Productos!$A$2:$A$11,0))</f>
        <v>64400</v>
      </c>
      <c r="N183" s="29">
        <f t="shared" si="10"/>
        <v>48070</v>
      </c>
      <c r="O183" s="30">
        <f>K183/INDEX(Productos!$E$2:$E$11,MATCH(Datos_Ventas!D183,Productos!$A$2:$A$11,0))-1</f>
        <v>-5.9615384615384626E-2</v>
      </c>
      <c r="P183">
        <f t="shared" si="11"/>
        <v>1</v>
      </c>
    </row>
    <row r="184" spans="1:16" x14ac:dyDescent="0.2">
      <c r="A184">
        <f>Datos_Ventas!A184</f>
        <v>191</v>
      </c>
      <c r="B184" s="13">
        <f>Datos_Ventas!B184</f>
        <v>46148</v>
      </c>
      <c r="C184" t="str">
        <f t="shared" si="8"/>
        <v>05 May</v>
      </c>
      <c r="D184" t="str">
        <f t="shared" si="9"/>
        <v>T2</v>
      </c>
      <c r="E184" t="str">
        <f>INDEX(Productos!$B$2:$B$11,MATCH(Datos_Ventas!D184,Productos!$A$2:$A$11,0))</f>
        <v>Aceite Omega</v>
      </c>
      <c r="F184" t="str">
        <f>INDEX(Productos!$C$2:$C$11,MATCH(Datos_Ventas!D184,Productos!$A$2:$A$11,0))</f>
        <v>Suplementos</v>
      </c>
      <c r="G184" t="str">
        <f>INDEX(Clientes!$B$2:$B$11,MATCH(Datos_Ventas!C184,Clientes!$A$2:$A$11,0))</f>
        <v>Hiper Centro</v>
      </c>
      <c r="H184" t="str">
        <f>INDEX(Clientes!$C$2:$C$11,MATCH(Datos_Ventas!C184,Clientes!$A$2:$A$11,0))</f>
        <v>Retail</v>
      </c>
      <c r="I184" t="str">
        <f>INDEX(Clientes!$D$2:$D$11,MATCH(Datos_Ventas!C184,Clientes!$A$2:$A$11,0))</f>
        <v>Luján de Cuyo</v>
      </c>
      <c r="J184">
        <f>Datos_Ventas!E184</f>
        <v>29</v>
      </c>
      <c r="K184" s="29">
        <f>Datos_Ventas!F184</f>
        <v>5970</v>
      </c>
      <c r="L184" s="29">
        <f>Datos_Ventas!G184</f>
        <v>173130</v>
      </c>
      <c r="M184" s="29">
        <f>J184*INDEX(Productos!$D$2:$D$11,MATCH(Datos_Ventas!D184,Productos!$A$2:$A$11,0))</f>
        <v>89900</v>
      </c>
      <c r="N184" s="29">
        <f t="shared" si="10"/>
        <v>83230</v>
      </c>
      <c r="O184" s="30">
        <f>K184/INDEX(Productos!$E$2:$E$11,MATCH(Datos_Ventas!D184,Productos!$A$2:$A$11,0))-1</f>
        <v>6.6071428571428559E-2</v>
      </c>
      <c r="P184">
        <f t="shared" si="11"/>
        <v>1</v>
      </c>
    </row>
    <row r="185" spans="1:16" x14ac:dyDescent="0.2">
      <c r="A185">
        <f>Datos_Ventas!A185</f>
        <v>192</v>
      </c>
      <c r="B185" s="13">
        <f>Datos_Ventas!B185</f>
        <v>46148</v>
      </c>
      <c r="C185" t="str">
        <f t="shared" si="8"/>
        <v>05 May</v>
      </c>
      <c r="D185" t="str">
        <f t="shared" si="9"/>
        <v>T2</v>
      </c>
      <c r="E185" t="str">
        <f>INDEX(Productos!$B$2:$B$11,MATCH(Datos_Ventas!D185,Productos!$A$2:$A$11,0))</f>
        <v>Alimento Premium 10kg</v>
      </c>
      <c r="F185" t="str">
        <f>INDEX(Productos!$C$2:$C$11,MATCH(Datos_Ventas!D185,Productos!$A$2:$A$11,0))</f>
        <v>Alimentos</v>
      </c>
      <c r="G185" t="str">
        <f>INDEX(Clientes!$B$2:$B$11,MATCH(Datos_Ventas!C185,Clientes!$A$2:$A$11,0))</f>
        <v>Despensa Vero</v>
      </c>
      <c r="H185" t="str">
        <f>INDEX(Clientes!$C$2:$C$11,MATCH(Datos_Ventas!C185,Clientes!$A$2:$A$11,0))</f>
        <v>Minorista</v>
      </c>
      <c r="I185" t="str">
        <f>INDEX(Clientes!$D$2:$D$11,MATCH(Datos_Ventas!C185,Clientes!$A$2:$A$11,0))</f>
        <v>Mendoza</v>
      </c>
      <c r="J185">
        <f>Datos_Ventas!E185</f>
        <v>7</v>
      </c>
      <c r="K185" s="29">
        <f>Datos_Ventas!F185</f>
        <v>19150</v>
      </c>
      <c r="L185" s="29">
        <f>Datos_Ventas!G185</f>
        <v>134050</v>
      </c>
      <c r="M185" s="29">
        <f>J185*INDEX(Productos!$D$2:$D$11,MATCH(Datos_Ventas!D185,Productos!$A$2:$A$11,0))</f>
        <v>87500</v>
      </c>
      <c r="N185" s="29">
        <f t="shared" si="10"/>
        <v>46550</v>
      </c>
      <c r="O185" s="30">
        <f>K185/INDEX(Productos!$E$2:$E$11,MATCH(Datos_Ventas!D185,Productos!$A$2:$A$11,0))-1</f>
        <v>1.3227513227513255E-2</v>
      </c>
      <c r="P185">
        <f t="shared" si="11"/>
        <v>1</v>
      </c>
    </row>
    <row r="186" spans="1:16" x14ac:dyDescent="0.2">
      <c r="A186">
        <f>Datos_Ventas!A186</f>
        <v>193</v>
      </c>
      <c r="B186" s="13">
        <f>Datos_Ventas!B186</f>
        <v>46149</v>
      </c>
      <c r="C186" t="str">
        <f t="shared" si="8"/>
        <v>05 May</v>
      </c>
      <c r="D186" t="str">
        <f t="shared" si="9"/>
        <v>T2</v>
      </c>
      <c r="E186" t="str">
        <f>INDEX(Productos!$B$2:$B$11,MATCH(Datos_Ventas!D186,Productos!$A$2:$A$11,0))</f>
        <v>Juguete Pelota</v>
      </c>
      <c r="F186" t="str">
        <f>INDEX(Productos!$C$2:$C$11,MATCH(Datos_Ventas!D186,Productos!$A$2:$A$11,0))</f>
        <v>Accesorios</v>
      </c>
      <c r="G186" t="str">
        <f>INDEX(Clientes!$B$2:$B$11,MATCH(Datos_Ventas!C186,Clientes!$A$2:$A$11,0))</f>
        <v>Despensa Vero</v>
      </c>
      <c r="H186" t="str">
        <f>INDEX(Clientes!$C$2:$C$11,MATCH(Datos_Ventas!C186,Clientes!$A$2:$A$11,0))</f>
        <v>Minorista</v>
      </c>
      <c r="I186" t="str">
        <f>INDEX(Clientes!$D$2:$D$11,MATCH(Datos_Ventas!C186,Clientes!$A$2:$A$11,0))</f>
        <v>Mendoza</v>
      </c>
      <c r="J186">
        <f>Datos_Ventas!E186</f>
        <v>7</v>
      </c>
      <c r="K186" s="29">
        <f>Datos_Ventas!F186</f>
        <v>1820</v>
      </c>
      <c r="L186" s="29">
        <f>Datos_Ventas!G186</f>
        <v>12740</v>
      </c>
      <c r="M186" s="29">
        <f>J186*INDEX(Productos!$D$2:$D$11,MATCH(Datos_Ventas!D186,Productos!$A$2:$A$11,0))</f>
        <v>6300</v>
      </c>
      <c r="N186" s="29">
        <f t="shared" si="10"/>
        <v>6440</v>
      </c>
      <c r="O186" s="30">
        <f>K186/INDEX(Productos!$E$2:$E$11,MATCH(Datos_Ventas!D186,Productos!$A$2:$A$11,0))-1</f>
        <v>1.1111111111111072E-2</v>
      </c>
      <c r="P186">
        <f t="shared" si="11"/>
        <v>1</v>
      </c>
    </row>
    <row r="187" spans="1:16" x14ac:dyDescent="0.2">
      <c r="A187">
        <f>Datos_Ventas!A187</f>
        <v>194</v>
      </c>
      <c r="B187" s="13">
        <f>Datos_Ventas!B187</f>
        <v>46149</v>
      </c>
      <c r="C187" t="str">
        <f t="shared" si="8"/>
        <v>05 May</v>
      </c>
      <c r="D187" t="str">
        <f t="shared" si="9"/>
        <v>T2</v>
      </c>
      <c r="E187" t="str">
        <f>INDEX(Productos!$B$2:$B$11,MATCH(Datos_Ventas!D187,Productos!$A$2:$A$11,0))</f>
        <v>Shampoo Mascotas</v>
      </c>
      <c r="F187" t="str">
        <f>INDEX(Productos!$C$2:$C$11,MATCH(Datos_Ventas!D187,Productos!$A$2:$A$11,0))</f>
        <v>Higiene</v>
      </c>
      <c r="G187" t="str">
        <f>INDEX(Clientes!$B$2:$B$11,MATCH(Datos_Ventas!C187,Clientes!$A$2:$A$11,0))</f>
        <v>Mayorista del Sol</v>
      </c>
      <c r="H187" t="str">
        <f>INDEX(Clientes!$C$2:$C$11,MATCH(Datos_Ventas!C187,Clientes!$A$2:$A$11,0))</f>
        <v>Mayorista</v>
      </c>
      <c r="I187" t="str">
        <f>INDEX(Clientes!$D$2:$D$11,MATCH(Datos_Ventas!C187,Clientes!$A$2:$A$11,0))</f>
        <v>San Martín</v>
      </c>
      <c r="J187">
        <f>Datos_Ventas!E187</f>
        <v>16</v>
      </c>
      <c r="K187" s="29">
        <f>Datos_Ventas!F187</f>
        <v>4180</v>
      </c>
      <c r="L187" s="29">
        <f>Datos_Ventas!G187</f>
        <v>66880</v>
      </c>
      <c r="M187" s="29">
        <f>J187*INDEX(Productos!$D$2:$D$11,MATCH(Datos_Ventas!D187,Productos!$A$2:$A$11,0))</f>
        <v>35200</v>
      </c>
      <c r="N187" s="29">
        <f t="shared" si="10"/>
        <v>31680</v>
      </c>
      <c r="O187" s="30">
        <f>K187/INDEX(Productos!$E$2:$E$11,MATCH(Datos_Ventas!D187,Productos!$A$2:$A$11,0))-1</f>
        <v>7.1794871794871762E-2</v>
      </c>
      <c r="P187">
        <f t="shared" si="11"/>
        <v>1</v>
      </c>
    </row>
    <row r="188" spans="1:16" x14ac:dyDescent="0.2">
      <c r="A188">
        <f>Datos_Ventas!A188</f>
        <v>195</v>
      </c>
      <c r="B188" s="13">
        <f>Datos_Ventas!B188</f>
        <v>46150</v>
      </c>
      <c r="C188" t="str">
        <f t="shared" si="8"/>
        <v>05 May</v>
      </c>
      <c r="D188" t="str">
        <f t="shared" si="9"/>
        <v>T2</v>
      </c>
      <c r="E188" t="str">
        <f>INDEX(Productos!$B$2:$B$11,MATCH(Datos_Ventas!D188,Productos!$A$2:$A$11,0))</f>
        <v>Snack Dental</v>
      </c>
      <c r="F188" t="str">
        <f>INDEX(Productos!$C$2:$C$11,MATCH(Datos_Ventas!D188,Productos!$A$2:$A$11,0))</f>
        <v>Snacks</v>
      </c>
      <c r="G188" t="str">
        <f>INDEX(Clientes!$B$2:$B$11,MATCH(Datos_Ventas!C188,Clientes!$A$2:$A$11,0))</f>
        <v>Distribuidora Andes</v>
      </c>
      <c r="H188" t="str">
        <f>INDEX(Clientes!$C$2:$C$11,MATCH(Datos_Ventas!C188,Clientes!$A$2:$A$11,0))</f>
        <v>Mayorista</v>
      </c>
      <c r="I188" t="str">
        <f>INDEX(Clientes!$D$2:$D$11,MATCH(Datos_Ventas!C188,Clientes!$A$2:$A$11,0))</f>
        <v>Mendoza</v>
      </c>
      <c r="J188">
        <f>Datos_Ventas!E188</f>
        <v>8</v>
      </c>
      <c r="K188" s="29">
        <f>Datos_Ventas!F188</f>
        <v>3130</v>
      </c>
      <c r="L188" s="29">
        <f>Datos_Ventas!G188</f>
        <v>25040</v>
      </c>
      <c r="M188" s="29">
        <f>J188*INDEX(Productos!$D$2:$D$11,MATCH(Datos_Ventas!D188,Productos!$A$2:$A$11,0))</f>
        <v>14400</v>
      </c>
      <c r="N188" s="29">
        <f t="shared" si="10"/>
        <v>10640</v>
      </c>
      <c r="O188" s="30">
        <f>K188/INDEX(Productos!$E$2:$E$11,MATCH(Datos_Ventas!D188,Productos!$A$2:$A$11,0))-1</f>
        <v>-2.1874999999999978E-2</v>
      </c>
      <c r="P188">
        <f t="shared" si="11"/>
        <v>1</v>
      </c>
    </row>
    <row r="189" spans="1:16" x14ac:dyDescent="0.2">
      <c r="A189">
        <f>Datos_Ventas!A189</f>
        <v>196</v>
      </c>
      <c r="B189" s="13">
        <f>Datos_Ventas!B189</f>
        <v>46151</v>
      </c>
      <c r="C189" t="str">
        <f t="shared" si="8"/>
        <v>05 May</v>
      </c>
      <c r="D189" t="str">
        <f t="shared" si="9"/>
        <v>T2</v>
      </c>
      <c r="E189" t="str">
        <f>INDEX(Productos!$B$2:$B$11,MATCH(Datos_Ventas!D189,Productos!$A$2:$A$11,0))</f>
        <v>Alimento Premium 10kg</v>
      </c>
      <c r="F189" t="str">
        <f>INDEX(Productos!$C$2:$C$11,MATCH(Datos_Ventas!D189,Productos!$A$2:$A$11,0))</f>
        <v>Alimentos</v>
      </c>
      <c r="G189" t="str">
        <f>INDEX(Clientes!$B$2:$B$11,MATCH(Datos_Ventas!C189,Clientes!$A$2:$A$11,0))</f>
        <v>Autoservicio Norte</v>
      </c>
      <c r="H189" t="str">
        <f>INDEX(Clientes!$C$2:$C$11,MATCH(Datos_Ventas!C189,Clientes!$A$2:$A$11,0))</f>
        <v>Retail</v>
      </c>
      <c r="I189" t="str">
        <f>INDEX(Clientes!$D$2:$D$11,MATCH(Datos_Ventas!C189,Clientes!$A$2:$A$11,0))</f>
        <v>Las Heras</v>
      </c>
      <c r="J189">
        <f>Datos_Ventas!E189</f>
        <v>38</v>
      </c>
      <c r="K189" s="29">
        <f>Datos_Ventas!F189</f>
        <v>19650</v>
      </c>
      <c r="L189" s="29">
        <f>Datos_Ventas!G189</f>
        <v>746700</v>
      </c>
      <c r="M189" s="29">
        <f>J189*INDEX(Productos!$D$2:$D$11,MATCH(Datos_Ventas!D189,Productos!$A$2:$A$11,0))</f>
        <v>475000</v>
      </c>
      <c r="N189" s="29">
        <f t="shared" si="10"/>
        <v>271700</v>
      </c>
      <c r="O189" s="30">
        <f>K189/INDEX(Productos!$E$2:$E$11,MATCH(Datos_Ventas!D189,Productos!$A$2:$A$11,0))-1</f>
        <v>3.9682539682539764E-2</v>
      </c>
      <c r="P189">
        <f t="shared" si="11"/>
        <v>1</v>
      </c>
    </row>
    <row r="190" spans="1:16" x14ac:dyDescent="0.2">
      <c r="A190">
        <f>Datos_Ventas!A190</f>
        <v>197</v>
      </c>
      <c r="B190" s="13">
        <f>Datos_Ventas!B190</f>
        <v>46151</v>
      </c>
      <c r="C190" t="str">
        <f t="shared" si="8"/>
        <v>05 May</v>
      </c>
      <c r="D190" t="str">
        <f t="shared" si="9"/>
        <v>T2</v>
      </c>
      <c r="E190" t="str">
        <f>INDEX(Productos!$B$2:$B$11,MATCH(Datos_Ventas!D190,Productos!$A$2:$A$11,0))</f>
        <v>Collar Ajustable</v>
      </c>
      <c r="F190" t="str">
        <f>INDEX(Productos!$C$2:$C$11,MATCH(Datos_Ventas!D190,Productos!$A$2:$A$11,0))</f>
        <v>Accesorios</v>
      </c>
      <c r="G190" t="str">
        <f>INDEX(Clientes!$B$2:$B$11,MATCH(Datos_Ventas!C190,Clientes!$A$2:$A$11,0))</f>
        <v>Autoservicio Norte</v>
      </c>
      <c r="H190" t="str">
        <f>INDEX(Clientes!$C$2:$C$11,MATCH(Datos_Ventas!C190,Clientes!$A$2:$A$11,0))</f>
        <v>Retail</v>
      </c>
      <c r="I190" t="str">
        <f>INDEX(Clientes!$D$2:$D$11,MATCH(Datos_Ventas!C190,Clientes!$A$2:$A$11,0))</f>
        <v>Las Heras</v>
      </c>
      <c r="J190">
        <f>Datos_Ventas!E190</f>
        <v>10</v>
      </c>
      <c r="K190" s="29">
        <f>Datos_Ventas!F190</f>
        <v>3340</v>
      </c>
      <c r="L190" s="29">
        <f>Datos_Ventas!G190</f>
        <v>33400</v>
      </c>
      <c r="M190" s="29">
        <f>J190*INDEX(Productos!$D$2:$D$11,MATCH(Datos_Ventas!D190,Productos!$A$2:$A$11,0))</f>
        <v>19000</v>
      </c>
      <c r="N190" s="29">
        <f t="shared" si="10"/>
        <v>14400</v>
      </c>
      <c r="O190" s="30">
        <f>K190/INDEX(Productos!$E$2:$E$11,MATCH(Datos_Ventas!D190,Productos!$A$2:$A$11,0))-1</f>
        <v>-7.2222222222222188E-2</v>
      </c>
      <c r="P190">
        <f t="shared" si="11"/>
        <v>1</v>
      </c>
    </row>
    <row r="191" spans="1:16" x14ac:dyDescent="0.2">
      <c r="A191">
        <f>Datos_Ventas!A191</f>
        <v>198</v>
      </c>
      <c r="B191" s="13">
        <f>Datos_Ventas!B191</f>
        <v>46151</v>
      </c>
      <c r="C191" t="str">
        <f t="shared" si="8"/>
        <v>05 May</v>
      </c>
      <c r="D191" t="str">
        <f t="shared" si="9"/>
        <v>T2</v>
      </c>
      <c r="E191" t="str">
        <f>INDEX(Productos!$B$2:$B$11,MATCH(Datos_Ventas!D191,Productos!$A$2:$A$11,0))</f>
        <v>Arena Sanitaria</v>
      </c>
      <c r="F191" t="str">
        <f>INDEX(Productos!$C$2:$C$11,MATCH(Datos_Ventas!D191,Productos!$A$2:$A$11,0))</f>
        <v>Higiene</v>
      </c>
      <c r="G191" t="str">
        <f>INDEX(Clientes!$B$2:$B$11,MATCH(Datos_Ventas!C191,Clientes!$A$2:$A$11,0))</f>
        <v>Mayorista del Sol</v>
      </c>
      <c r="H191" t="str">
        <f>INDEX(Clientes!$C$2:$C$11,MATCH(Datos_Ventas!C191,Clientes!$A$2:$A$11,0))</f>
        <v>Mayorista</v>
      </c>
      <c r="I191" t="str">
        <f>INDEX(Clientes!$D$2:$D$11,MATCH(Datos_Ventas!C191,Clientes!$A$2:$A$11,0))</f>
        <v>San Martín</v>
      </c>
      <c r="J191">
        <f>Datos_Ventas!E191</f>
        <v>30</v>
      </c>
      <c r="K191" s="29">
        <f>Datos_Ventas!F191</f>
        <v>4250</v>
      </c>
      <c r="L191" s="29">
        <f>Datos_Ventas!G191</f>
        <v>127500</v>
      </c>
      <c r="M191" s="29">
        <f>J191*INDEX(Productos!$D$2:$D$11,MATCH(Datos_Ventas!D191,Productos!$A$2:$A$11,0))</f>
        <v>78000</v>
      </c>
      <c r="N191" s="29">
        <f t="shared" si="10"/>
        <v>49500</v>
      </c>
      <c r="O191" s="30">
        <f>K191/INDEX(Productos!$E$2:$E$11,MATCH(Datos_Ventas!D191,Productos!$A$2:$A$11,0))-1</f>
        <v>-3.4090909090909061E-2</v>
      </c>
      <c r="P191">
        <f t="shared" si="11"/>
        <v>1</v>
      </c>
    </row>
    <row r="192" spans="1:16" x14ac:dyDescent="0.2">
      <c r="A192">
        <f>Datos_Ventas!A192</f>
        <v>199</v>
      </c>
      <c r="B192" s="13">
        <f>Datos_Ventas!B192</f>
        <v>46151</v>
      </c>
      <c r="C192" t="str">
        <f t="shared" si="8"/>
        <v>05 May</v>
      </c>
      <c r="D192" t="str">
        <f t="shared" si="9"/>
        <v>T2</v>
      </c>
      <c r="E192" t="str">
        <f>INDEX(Productos!$B$2:$B$11,MATCH(Datos_Ventas!D192,Productos!$A$2:$A$11,0))</f>
        <v>Alimento Balanceado 15kg</v>
      </c>
      <c r="F192" t="str">
        <f>INDEX(Productos!$C$2:$C$11,MATCH(Datos_Ventas!D192,Productos!$A$2:$A$11,0))</f>
        <v>Alimentos</v>
      </c>
      <c r="G192" t="str">
        <f>INDEX(Clientes!$B$2:$B$11,MATCH(Datos_Ventas!C192,Clientes!$A$2:$A$11,0))</f>
        <v>Mayorista del Sol</v>
      </c>
      <c r="H192" t="str">
        <f>INDEX(Clientes!$C$2:$C$11,MATCH(Datos_Ventas!C192,Clientes!$A$2:$A$11,0))</f>
        <v>Mayorista</v>
      </c>
      <c r="I192" t="str">
        <f>INDEX(Clientes!$D$2:$D$11,MATCH(Datos_Ventas!C192,Clientes!$A$2:$A$11,0))</f>
        <v>San Martín</v>
      </c>
      <c r="J192">
        <f>Datos_Ventas!E192</f>
        <v>35</v>
      </c>
      <c r="K192" s="29">
        <f>Datos_Ventas!F192</f>
        <v>15010</v>
      </c>
      <c r="L192" s="29">
        <f>Datos_Ventas!G192</f>
        <v>525350</v>
      </c>
      <c r="M192" s="29">
        <f>J192*INDEX(Productos!$D$2:$D$11,MATCH(Datos_Ventas!D192,Productos!$A$2:$A$11,0))</f>
        <v>343000</v>
      </c>
      <c r="N192" s="29">
        <f t="shared" si="10"/>
        <v>182350</v>
      </c>
      <c r="O192" s="30">
        <f>K192/INDEX(Productos!$E$2:$E$11,MATCH(Datos_Ventas!D192,Productos!$A$2:$A$11,0))-1</f>
        <v>3.5172413793103541E-2</v>
      </c>
      <c r="P192">
        <f t="shared" si="11"/>
        <v>1</v>
      </c>
    </row>
    <row r="193" spans="1:16" x14ac:dyDescent="0.2">
      <c r="A193">
        <f>Datos_Ventas!A193</f>
        <v>200</v>
      </c>
      <c r="B193" s="13">
        <f>Datos_Ventas!B193</f>
        <v>46151</v>
      </c>
      <c r="C193" t="str">
        <f t="shared" si="8"/>
        <v>05 May</v>
      </c>
      <c r="D193" t="str">
        <f t="shared" si="9"/>
        <v>T2</v>
      </c>
      <c r="E193" t="str">
        <f>INDEX(Productos!$B$2:$B$11,MATCH(Datos_Ventas!D193,Productos!$A$2:$A$11,0))</f>
        <v>Galletas Perro</v>
      </c>
      <c r="F193" t="str">
        <f>INDEX(Productos!$C$2:$C$11,MATCH(Datos_Ventas!D193,Productos!$A$2:$A$11,0))</f>
        <v>Snacks</v>
      </c>
      <c r="G193" t="str">
        <f>INDEX(Clientes!$B$2:$B$11,MATCH(Datos_Ventas!C193,Clientes!$A$2:$A$11,0))</f>
        <v>Distribuidora Andes</v>
      </c>
      <c r="H193" t="str">
        <f>INDEX(Clientes!$C$2:$C$11,MATCH(Datos_Ventas!C193,Clientes!$A$2:$A$11,0))</f>
        <v>Mayorista</v>
      </c>
      <c r="I193" t="str">
        <f>INDEX(Clientes!$D$2:$D$11,MATCH(Datos_Ventas!C193,Clientes!$A$2:$A$11,0))</f>
        <v>Mendoza</v>
      </c>
      <c r="J193">
        <f>Datos_Ventas!E193</f>
        <v>35</v>
      </c>
      <c r="K193" s="29">
        <f>Datos_Ventas!F193</f>
        <v>2900</v>
      </c>
      <c r="L193" s="29">
        <f>Datos_Ventas!G193</f>
        <v>101500</v>
      </c>
      <c r="M193" s="29">
        <f>J193*INDEX(Productos!$D$2:$D$11,MATCH(Datos_Ventas!D193,Productos!$A$2:$A$11,0))</f>
        <v>52500</v>
      </c>
      <c r="N193" s="29">
        <f t="shared" si="10"/>
        <v>49000</v>
      </c>
      <c r="O193" s="30">
        <f>K193/INDEX(Productos!$E$2:$E$11,MATCH(Datos_Ventas!D193,Productos!$A$2:$A$11,0))-1</f>
        <v>7.4074074074074181E-2</v>
      </c>
      <c r="P193">
        <f t="shared" si="11"/>
        <v>1</v>
      </c>
    </row>
    <row r="194" spans="1:16" x14ac:dyDescent="0.2">
      <c r="A194">
        <f>Datos_Ventas!A194</f>
        <v>202</v>
      </c>
      <c r="B194" s="13">
        <f>Datos_Ventas!B194</f>
        <v>46154</v>
      </c>
      <c r="C194" t="str">
        <f t="shared" ref="C194:C257" si="12">CHOOSE(MONTH(B194),"01 Ene","02 Feb","03 Mar","04 Abr","05 May","06 Jun","07 Jul","08 Ago","09 Sep","10 Oct","11 Nov","12 Dic")</f>
        <v>05 May</v>
      </c>
      <c r="D194" t="str">
        <f t="shared" ref="D194:D257" si="13">"T"&amp;ROUNDUP(MONTH(B194)/3,0)</f>
        <v>T2</v>
      </c>
      <c r="E194" t="str">
        <f>INDEX(Productos!$B$2:$B$11,MATCH(Datos_Ventas!D194,Productos!$A$2:$A$11,0))</f>
        <v>Correa Reforzada</v>
      </c>
      <c r="F194" t="str">
        <f>INDEX(Productos!$C$2:$C$11,MATCH(Datos_Ventas!D194,Productos!$A$2:$A$11,0))</f>
        <v>Accesorios</v>
      </c>
      <c r="G194" t="str">
        <f>INDEX(Clientes!$B$2:$B$11,MATCH(Datos_Ventas!C194,Clientes!$A$2:$A$11,0))</f>
        <v>Autoservicio Norte</v>
      </c>
      <c r="H194" t="str">
        <f>INDEX(Clientes!$C$2:$C$11,MATCH(Datos_Ventas!C194,Clientes!$A$2:$A$11,0))</f>
        <v>Retail</v>
      </c>
      <c r="I194" t="str">
        <f>INDEX(Clientes!$D$2:$D$11,MATCH(Datos_Ventas!C194,Clientes!$A$2:$A$11,0))</f>
        <v>Las Heras</v>
      </c>
      <c r="J194">
        <f>Datos_Ventas!E194</f>
        <v>26</v>
      </c>
      <c r="K194" s="29">
        <f>Datos_Ventas!F194</f>
        <v>5410</v>
      </c>
      <c r="L194" s="29">
        <f>Datos_Ventas!G194</f>
        <v>140660</v>
      </c>
      <c r="M194" s="29">
        <f>J194*INDEX(Productos!$D$2:$D$11,MATCH(Datos_Ventas!D194,Productos!$A$2:$A$11,0))</f>
        <v>72800</v>
      </c>
      <c r="N194" s="29">
        <f t="shared" ref="N194:N257" si="14">L194-M194</f>
        <v>67860</v>
      </c>
      <c r="O194" s="30">
        <f>K194/INDEX(Productos!$E$2:$E$11,MATCH(Datos_Ventas!D194,Productos!$A$2:$A$11,0))-1</f>
        <v>4.0384615384615463E-2</v>
      </c>
      <c r="P194">
        <f t="shared" ref="P194:P257" si="15">SUBTOTAL(103,A194)</f>
        <v>1</v>
      </c>
    </row>
    <row r="195" spans="1:16" x14ac:dyDescent="0.2">
      <c r="A195">
        <f>Datos_Ventas!A195</f>
        <v>203</v>
      </c>
      <c r="B195" s="13">
        <f>Datos_Ventas!B195</f>
        <v>46155</v>
      </c>
      <c r="C195" t="str">
        <f t="shared" si="12"/>
        <v>05 May</v>
      </c>
      <c r="D195" t="str">
        <f t="shared" si="13"/>
        <v>T2</v>
      </c>
      <c r="E195" t="str">
        <f>INDEX(Productos!$B$2:$B$11,MATCH(Datos_Ventas!D195,Productos!$A$2:$A$11,0))</f>
        <v>Juguete Pelota</v>
      </c>
      <c r="F195" t="str">
        <f>INDEX(Productos!$C$2:$C$11,MATCH(Datos_Ventas!D195,Productos!$A$2:$A$11,0))</f>
        <v>Accesorios</v>
      </c>
      <c r="G195" t="str">
        <f>INDEX(Clientes!$B$2:$B$11,MATCH(Datos_Ventas!C195,Clientes!$A$2:$A$11,0))</f>
        <v>Mayorista del Sol</v>
      </c>
      <c r="H195" t="str">
        <f>INDEX(Clientes!$C$2:$C$11,MATCH(Datos_Ventas!C195,Clientes!$A$2:$A$11,0))</f>
        <v>Mayorista</v>
      </c>
      <c r="I195" t="str">
        <f>INDEX(Clientes!$D$2:$D$11,MATCH(Datos_Ventas!C195,Clientes!$A$2:$A$11,0))</f>
        <v>San Martín</v>
      </c>
      <c r="J195">
        <f>Datos_Ventas!E195</f>
        <v>12</v>
      </c>
      <c r="K195" s="29">
        <f>Datos_Ventas!F195</f>
        <v>1760</v>
      </c>
      <c r="L195" s="29">
        <f>Datos_Ventas!G195</f>
        <v>21120</v>
      </c>
      <c r="M195" s="29">
        <f>J195*INDEX(Productos!$D$2:$D$11,MATCH(Datos_Ventas!D195,Productos!$A$2:$A$11,0))</f>
        <v>10800</v>
      </c>
      <c r="N195" s="29">
        <f t="shared" si="14"/>
        <v>10320</v>
      </c>
      <c r="O195" s="30">
        <f>K195/INDEX(Productos!$E$2:$E$11,MATCH(Datos_Ventas!D195,Productos!$A$2:$A$11,0))-1</f>
        <v>-2.2222222222222254E-2</v>
      </c>
      <c r="P195">
        <f t="shared" si="15"/>
        <v>1</v>
      </c>
    </row>
    <row r="196" spans="1:16" x14ac:dyDescent="0.2">
      <c r="A196">
        <f>Datos_Ventas!A196</f>
        <v>204</v>
      </c>
      <c r="B196" s="13">
        <f>Datos_Ventas!B196</f>
        <v>46157</v>
      </c>
      <c r="C196" t="str">
        <f t="shared" si="12"/>
        <v>05 May</v>
      </c>
      <c r="D196" t="str">
        <f t="shared" si="13"/>
        <v>T2</v>
      </c>
      <c r="E196" t="str">
        <f>INDEX(Productos!$B$2:$B$11,MATCH(Datos_Ventas!D196,Productos!$A$2:$A$11,0))</f>
        <v>Juguete Pelota</v>
      </c>
      <c r="F196" t="str">
        <f>INDEX(Productos!$C$2:$C$11,MATCH(Datos_Ventas!D196,Productos!$A$2:$A$11,0))</f>
        <v>Accesorios</v>
      </c>
      <c r="G196" t="str">
        <f>INDEX(Clientes!$B$2:$B$11,MATCH(Datos_Ventas!C196,Clientes!$A$2:$A$11,0))</f>
        <v>Kiosco La Esquina</v>
      </c>
      <c r="H196" t="str">
        <f>INDEX(Clientes!$C$2:$C$11,MATCH(Datos_Ventas!C196,Clientes!$A$2:$A$11,0))</f>
        <v>Minorista</v>
      </c>
      <c r="I196" t="str">
        <f>INDEX(Clientes!$D$2:$D$11,MATCH(Datos_Ventas!C196,Clientes!$A$2:$A$11,0))</f>
        <v>Godoy Cruz</v>
      </c>
      <c r="J196">
        <f>Datos_Ventas!E196</f>
        <v>16</v>
      </c>
      <c r="K196" s="29">
        <f>Datos_Ventas!F196</f>
        <v>1720</v>
      </c>
      <c r="L196" s="29">
        <f>Datos_Ventas!G196</f>
        <v>27520</v>
      </c>
      <c r="M196" s="29">
        <f>J196*INDEX(Productos!$D$2:$D$11,MATCH(Datos_Ventas!D196,Productos!$A$2:$A$11,0))</f>
        <v>14400</v>
      </c>
      <c r="N196" s="29">
        <f t="shared" si="14"/>
        <v>13120</v>
      </c>
      <c r="O196" s="30">
        <f>K196/INDEX(Productos!$E$2:$E$11,MATCH(Datos_Ventas!D196,Productos!$A$2:$A$11,0))-1</f>
        <v>-4.4444444444444398E-2</v>
      </c>
      <c r="P196">
        <f t="shared" si="15"/>
        <v>1</v>
      </c>
    </row>
    <row r="197" spans="1:16" x14ac:dyDescent="0.2">
      <c r="A197">
        <f>Datos_Ventas!A197</f>
        <v>205</v>
      </c>
      <c r="B197" s="13">
        <f>Datos_Ventas!B197</f>
        <v>46160</v>
      </c>
      <c r="C197" t="str">
        <f t="shared" si="12"/>
        <v>05 May</v>
      </c>
      <c r="D197" t="str">
        <f t="shared" si="13"/>
        <v>T2</v>
      </c>
      <c r="E197" t="str">
        <f>INDEX(Productos!$B$2:$B$11,MATCH(Datos_Ventas!D197,Productos!$A$2:$A$11,0))</f>
        <v>Arena Sanitaria</v>
      </c>
      <c r="F197" t="str">
        <f>INDEX(Productos!$C$2:$C$11,MATCH(Datos_Ventas!D197,Productos!$A$2:$A$11,0))</f>
        <v>Higiene</v>
      </c>
      <c r="G197" t="str">
        <f>INDEX(Clientes!$B$2:$B$11,MATCH(Datos_Ventas!C197,Clientes!$A$2:$A$11,0))</f>
        <v>Supermercado Cuyo</v>
      </c>
      <c r="H197" t="str">
        <f>INDEX(Clientes!$C$2:$C$11,MATCH(Datos_Ventas!C197,Clientes!$A$2:$A$11,0))</f>
        <v>Retail</v>
      </c>
      <c r="I197" t="str">
        <f>INDEX(Clientes!$D$2:$D$11,MATCH(Datos_Ventas!C197,Clientes!$A$2:$A$11,0))</f>
        <v>Guaymallén</v>
      </c>
      <c r="J197">
        <f>Datos_Ventas!E197</f>
        <v>19</v>
      </c>
      <c r="K197" s="29">
        <f>Datos_Ventas!F197</f>
        <v>4390</v>
      </c>
      <c r="L197" s="29">
        <f>Datos_Ventas!G197</f>
        <v>83410</v>
      </c>
      <c r="M197" s="29">
        <f>J197*INDEX(Productos!$D$2:$D$11,MATCH(Datos_Ventas!D197,Productos!$A$2:$A$11,0))</f>
        <v>49400</v>
      </c>
      <c r="N197" s="29">
        <f t="shared" si="14"/>
        <v>34010</v>
      </c>
      <c r="O197" s="30">
        <f>K197/INDEX(Productos!$E$2:$E$11,MATCH(Datos_Ventas!D197,Productos!$A$2:$A$11,0))-1</f>
        <v>-2.2727272727273151E-3</v>
      </c>
      <c r="P197">
        <f t="shared" si="15"/>
        <v>1</v>
      </c>
    </row>
    <row r="198" spans="1:16" x14ac:dyDescent="0.2">
      <c r="A198">
        <f>Datos_Ventas!A198</f>
        <v>206</v>
      </c>
      <c r="B198" s="13">
        <f>Datos_Ventas!B198</f>
        <v>46160</v>
      </c>
      <c r="C198" t="str">
        <f t="shared" si="12"/>
        <v>05 May</v>
      </c>
      <c r="D198" t="str">
        <f t="shared" si="13"/>
        <v>T2</v>
      </c>
      <c r="E198" t="str">
        <f>INDEX(Productos!$B$2:$B$11,MATCH(Datos_Ventas!D198,Productos!$A$2:$A$11,0))</f>
        <v>Snack Dental</v>
      </c>
      <c r="F198" t="str">
        <f>INDEX(Productos!$C$2:$C$11,MATCH(Datos_Ventas!D198,Productos!$A$2:$A$11,0))</f>
        <v>Snacks</v>
      </c>
      <c r="G198" t="str">
        <f>INDEX(Clientes!$B$2:$B$11,MATCH(Datos_Ventas!C198,Clientes!$A$2:$A$11,0))</f>
        <v>Distribuidora Andes</v>
      </c>
      <c r="H198" t="str">
        <f>INDEX(Clientes!$C$2:$C$11,MATCH(Datos_Ventas!C198,Clientes!$A$2:$A$11,0))</f>
        <v>Mayorista</v>
      </c>
      <c r="I198" t="str">
        <f>INDEX(Clientes!$D$2:$D$11,MATCH(Datos_Ventas!C198,Clientes!$A$2:$A$11,0))</f>
        <v>Mendoza</v>
      </c>
      <c r="J198">
        <f>Datos_Ventas!E198</f>
        <v>7</v>
      </c>
      <c r="K198" s="29">
        <f>Datos_Ventas!F198</f>
        <v>2990</v>
      </c>
      <c r="L198" s="29">
        <f>Datos_Ventas!G198</f>
        <v>20930</v>
      </c>
      <c r="M198" s="29">
        <f>J198*INDEX(Productos!$D$2:$D$11,MATCH(Datos_Ventas!D198,Productos!$A$2:$A$11,0))</f>
        <v>12600</v>
      </c>
      <c r="N198" s="29">
        <f t="shared" si="14"/>
        <v>8330</v>
      </c>
      <c r="O198" s="30">
        <f>K198/INDEX(Productos!$E$2:$E$11,MATCH(Datos_Ventas!D198,Productos!$A$2:$A$11,0))-1</f>
        <v>-6.5625000000000044E-2</v>
      </c>
      <c r="P198">
        <f t="shared" si="15"/>
        <v>1</v>
      </c>
    </row>
    <row r="199" spans="1:16" x14ac:dyDescent="0.2">
      <c r="A199">
        <f>Datos_Ventas!A199</f>
        <v>207</v>
      </c>
      <c r="B199" s="13">
        <f>Datos_Ventas!B199</f>
        <v>46161</v>
      </c>
      <c r="C199" t="str">
        <f t="shared" si="12"/>
        <v>05 May</v>
      </c>
      <c r="D199" t="str">
        <f t="shared" si="13"/>
        <v>T2</v>
      </c>
      <c r="E199" t="str">
        <f>INDEX(Productos!$B$2:$B$11,MATCH(Datos_Ventas!D199,Productos!$A$2:$A$11,0))</f>
        <v>Galletas Perro</v>
      </c>
      <c r="F199" t="str">
        <f>INDEX(Productos!$C$2:$C$11,MATCH(Datos_Ventas!D199,Productos!$A$2:$A$11,0))</f>
        <v>Snacks</v>
      </c>
      <c r="G199" t="str">
        <f>INDEX(Clientes!$B$2:$B$11,MATCH(Datos_Ventas!C199,Clientes!$A$2:$A$11,0))</f>
        <v>Distribuidora Andes</v>
      </c>
      <c r="H199" t="str">
        <f>INDEX(Clientes!$C$2:$C$11,MATCH(Datos_Ventas!C199,Clientes!$A$2:$A$11,0))</f>
        <v>Mayorista</v>
      </c>
      <c r="I199" t="str">
        <f>INDEX(Clientes!$D$2:$D$11,MATCH(Datos_Ventas!C199,Clientes!$A$2:$A$11,0))</f>
        <v>Mendoza</v>
      </c>
      <c r="J199">
        <f>Datos_Ventas!E199</f>
        <v>11</v>
      </c>
      <c r="K199" s="29">
        <f>Datos_Ventas!F199</f>
        <v>2730</v>
      </c>
      <c r="L199" s="29">
        <f>Datos_Ventas!G199</f>
        <v>30030</v>
      </c>
      <c r="M199" s="29">
        <f>J199*INDEX(Productos!$D$2:$D$11,MATCH(Datos_Ventas!D199,Productos!$A$2:$A$11,0))</f>
        <v>16500</v>
      </c>
      <c r="N199" s="29">
        <f t="shared" si="14"/>
        <v>13530</v>
      </c>
      <c r="O199" s="30">
        <f>K199/INDEX(Productos!$E$2:$E$11,MATCH(Datos_Ventas!D199,Productos!$A$2:$A$11,0))-1</f>
        <v>1.1111111111111072E-2</v>
      </c>
      <c r="P199">
        <f t="shared" si="15"/>
        <v>1</v>
      </c>
    </row>
    <row r="200" spans="1:16" x14ac:dyDescent="0.2">
      <c r="A200">
        <f>Datos_Ventas!A200</f>
        <v>208</v>
      </c>
      <c r="B200" s="13">
        <f>Datos_Ventas!B200</f>
        <v>46161</v>
      </c>
      <c r="C200" t="str">
        <f t="shared" si="12"/>
        <v>05 May</v>
      </c>
      <c r="D200" t="str">
        <f t="shared" si="13"/>
        <v>T2</v>
      </c>
      <c r="E200" t="str">
        <f>INDEX(Productos!$B$2:$B$11,MATCH(Datos_Ventas!D200,Productos!$A$2:$A$11,0))</f>
        <v>Alimento Premium 10kg</v>
      </c>
      <c r="F200" t="str">
        <f>INDEX(Productos!$C$2:$C$11,MATCH(Datos_Ventas!D200,Productos!$A$2:$A$11,0))</f>
        <v>Alimentos</v>
      </c>
      <c r="G200" t="str">
        <f>INDEX(Clientes!$B$2:$B$11,MATCH(Datos_Ventas!C200,Clientes!$A$2:$A$11,0))</f>
        <v>Hiper Centro</v>
      </c>
      <c r="H200" t="str">
        <f>INDEX(Clientes!$C$2:$C$11,MATCH(Datos_Ventas!C200,Clientes!$A$2:$A$11,0))</f>
        <v>Retail</v>
      </c>
      <c r="I200" t="str">
        <f>INDEX(Clientes!$D$2:$D$11,MATCH(Datos_Ventas!C200,Clientes!$A$2:$A$11,0))</f>
        <v>Luján de Cuyo</v>
      </c>
      <c r="J200">
        <f>Datos_Ventas!E200</f>
        <v>26</v>
      </c>
      <c r="K200" s="29">
        <f>Datos_Ventas!F200</f>
        <v>17910</v>
      </c>
      <c r="L200" s="29">
        <f>Datos_Ventas!G200</f>
        <v>465660</v>
      </c>
      <c r="M200" s="29">
        <f>J200*INDEX(Productos!$D$2:$D$11,MATCH(Datos_Ventas!D200,Productos!$A$2:$A$11,0))</f>
        <v>325000</v>
      </c>
      <c r="N200" s="29">
        <f t="shared" si="14"/>
        <v>140660</v>
      </c>
      <c r="O200" s="30">
        <f>K200/INDEX(Productos!$E$2:$E$11,MATCH(Datos_Ventas!D200,Productos!$A$2:$A$11,0))-1</f>
        <v>-5.2380952380952417E-2</v>
      </c>
      <c r="P200">
        <f t="shared" si="15"/>
        <v>1</v>
      </c>
    </row>
    <row r="201" spans="1:16" x14ac:dyDescent="0.2">
      <c r="A201">
        <f>Datos_Ventas!A201</f>
        <v>210</v>
      </c>
      <c r="B201" s="13">
        <f>Datos_Ventas!B201</f>
        <v>46163</v>
      </c>
      <c r="C201" t="str">
        <f t="shared" si="12"/>
        <v>05 May</v>
      </c>
      <c r="D201" t="str">
        <f t="shared" si="13"/>
        <v>T2</v>
      </c>
      <c r="E201" t="str">
        <f>INDEX(Productos!$B$2:$B$11,MATCH(Datos_Ventas!D201,Productos!$A$2:$A$11,0))</f>
        <v>Correa Reforzada</v>
      </c>
      <c r="F201" t="str">
        <f>INDEX(Productos!$C$2:$C$11,MATCH(Datos_Ventas!D201,Productos!$A$2:$A$11,0))</f>
        <v>Accesorios</v>
      </c>
      <c r="G201" t="str">
        <f>INDEX(Clientes!$B$2:$B$11,MATCH(Datos_Ventas!C201,Clientes!$A$2:$A$11,0))</f>
        <v>Almacén Don Pedro</v>
      </c>
      <c r="H201" t="str">
        <f>INDEX(Clientes!$C$2:$C$11,MATCH(Datos_Ventas!C201,Clientes!$A$2:$A$11,0))</f>
        <v>Minorista</v>
      </c>
      <c r="I201" t="str">
        <f>INDEX(Clientes!$D$2:$D$11,MATCH(Datos_Ventas!C201,Clientes!$A$2:$A$11,0))</f>
        <v>Maipú</v>
      </c>
      <c r="J201">
        <f>Datos_Ventas!E201</f>
        <v>3</v>
      </c>
      <c r="K201" s="29">
        <f>Datos_Ventas!F201</f>
        <v>4980</v>
      </c>
      <c r="L201" s="29">
        <f>Datos_Ventas!G201</f>
        <v>14940</v>
      </c>
      <c r="M201" s="29">
        <f>J201*INDEX(Productos!$D$2:$D$11,MATCH(Datos_Ventas!D201,Productos!$A$2:$A$11,0))</f>
        <v>8400</v>
      </c>
      <c r="N201" s="29">
        <f t="shared" si="14"/>
        <v>6540</v>
      </c>
      <c r="O201" s="30">
        <f>K201/INDEX(Productos!$E$2:$E$11,MATCH(Datos_Ventas!D201,Productos!$A$2:$A$11,0))-1</f>
        <v>-4.2307692307692268E-2</v>
      </c>
      <c r="P201">
        <f t="shared" si="15"/>
        <v>1</v>
      </c>
    </row>
    <row r="202" spans="1:16" x14ac:dyDescent="0.2">
      <c r="A202">
        <f>Datos_Ventas!A202</f>
        <v>211</v>
      </c>
      <c r="B202" s="13">
        <f>Datos_Ventas!B202</f>
        <v>46164</v>
      </c>
      <c r="C202" t="str">
        <f t="shared" si="12"/>
        <v>05 May</v>
      </c>
      <c r="D202" t="str">
        <f t="shared" si="13"/>
        <v>T2</v>
      </c>
      <c r="E202" t="str">
        <f>INDEX(Productos!$B$2:$B$11,MATCH(Datos_Ventas!D202,Productos!$A$2:$A$11,0))</f>
        <v>Correa Reforzada</v>
      </c>
      <c r="F202" t="str">
        <f>INDEX(Productos!$C$2:$C$11,MATCH(Datos_Ventas!D202,Productos!$A$2:$A$11,0))</f>
        <v>Accesorios</v>
      </c>
      <c r="G202" t="str">
        <f>INDEX(Clientes!$B$2:$B$11,MATCH(Datos_Ventas!C202,Clientes!$A$2:$A$11,0))</f>
        <v>Distribuidora Andes</v>
      </c>
      <c r="H202" t="str">
        <f>INDEX(Clientes!$C$2:$C$11,MATCH(Datos_Ventas!C202,Clientes!$A$2:$A$11,0))</f>
        <v>Mayorista</v>
      </c>
      <c r="I202" t="str">
        <f>INDEX(Clientes!$D$2:$D$11,MATCH(Datos_Ventas!C202,Clientes!$A$2:$A$11,0))</f>
        <v>Mendoza</v>
      </c>
      <c r="J202">
        <f>Datos_Ventas!E202</f>
        <v>16</v>
      </c>
      <c r="K202" s="29">
        <f>Datos_Ventas!F202</f>
        <v>4820</v>
      </c>
      <c r="L202" s="29">
        <f>Datos_Ventas!G202</f>
        <v>77120</v>
      </c>
      <c r="M202" s="29">
        <f>J202*INDEX(Productos!$D$2:$D$11,MATCH(Datos_Ventas!D202,Productos!$A$2:$A$11,0))</f>
        <v>44800</v>
      </c>
      <c r="N202" s="29">
        <f t="shared" si="14"/>
        <v>32320</v>
      </c>
      <c r="O202" s="30">
        <f>K202/INDEX(Productos!$E$2:$E$11,MATCH(Datos_Ventas!D202,Productos!$A$2:$A$11,0))-1</f>
        <v>-7.3076923076923039E-2</v>
      </c>
      <c r="P202">
        <f t="shared" si="15"/>
        <v>1</v>
      </c>
    </row>
    <row r="203" spans="1:16" x14ac:dyDescent="0.2">
      <c r="A203">
        <f>Datos_Ventas!A203</f>
        <v>212</v>
      </c>
      <c r="B203" s="13">
        <f>Datos_Ventas!B203</f>
        <v>46165</v>
      </c>
      <c r="C203" t="str">
        <f t="shared" si="12"/>
        <v>05 May</v>
      </c>
      <c r="D203" t="str">
        <f t="shared" si="13"/>
        <v>T2</v>
      </c>
      <c r="E203" t="str">
        <f>INDEX(Productos!$B$2:$B$11,MATCH(Datos_Ventas!D203,Productos!$A$2:$A$11,0))</f>
        <v>Alimento Premium 10kg</v>
      </c>
      <c r="F203" t="str">
        <f>INDEX(Productos!$C$2:$C$11,MATCH(Datos_Ventas!D203,Productos!$A$2:$A$11,0))</f>
        <v>Alimentos</v>
      </c>
      <c r="G203" t="str">
        <f>INDEX(Clientes!$B$2:$B$11,MATCH(Datos_Ventas!C203,Clientes!$A$2:$A$11,0))</f>
        <v>Despensa Vero</v>
      </c>
      <c r="H203" t="str">
        <f>INDEX(Clientes!$C$2:$C$11,MATCH(Datos_Ventas!C203,Clientes!$A$2:$A$11,0))</f>
        <v>Minorista</v>
      </c>
      <c r="I203" t="str">
        <f>INDEX(Clientes!$D$2:$D$11,MATCH(Datos_Ventas!C203,Clientes!$A$2:$A$11,0))</f>
        <v>Mendoza</v>
      </c>
      <c r="J203">
        <f>Datos_Ventas!E203</f>
        <v>36</v>
      </c>
      <c r="K203" s="29">
        <f>Datos_Ventas!F203</f>
        <v>18510</v>
      </c>
      <c r="L203" s="29">
        <f>Datos_Ventas!G203</f>
        <v>666360</v>
      </c>
      <c r="M203" s="29">
        <f>J203*INDEX(Productos!$D$2:$D$11,MATCH(Datos_Ventas!D203,Productos!$A$2:$A$11,0))</f>
        <v>450000</v>
      </c>
      <c r="N203" s="29">
        <f t="shared" si="14"/>
        <v>216360</v>
      </c>
      <c r="O203" s="30">
        <f>K203/INDEX(Productos!$E$2:$E$11,MATCH(Datos_Ventas!D203,Productos!$A$2:$A$11,0))-1</f>
        <v>-2.0634920634920673E-2</v>
      </c>
      <c r="P203">
        <f t="shared" si="15"/>
        <v>1</v>
      </c>
    </row>
    <row r="204" spans="1:16" x14ac:dyDescent="0.2">
      <c r="A204">
        <f>Datos_Ventas!A204</f>
        <v>213</v>
      </c>
      <c r="B204" s="13">
        <f>Datos_Ventas!B204</f>
        <v>46165</v>
      </c>
      <c r="C204" t="str">
        <f t="shared" si="12"/>
        <v>05 May</v>
      </c>
      <c r="D204" t="str">
        <f t="shared" si="13"/>
        <v>T2</v>
      </c>
      <c r="E204" t="str">
        <f>INDEX(Productos!$B$2:$B$11,MATCH(Datos_Ventas!D204,Productos!$A$2:$A$11,0))</f>
        <v>Correa Reforzada</v>
      </c>
      <c r="F204" t="str">
        <f>INDEX(Productos!$C$2:$C$11,MATCH(Datos_Ventas!D204,Productos!$A$2:$A$11,0))</f>
        <v>Accesorios</v>
      </c>
      <c r="G204" t="str">
        <f>INDEX(Clientes!$B$2:$B$11,MATCH(Datos_Ventas!C204,Clientes!$A$2:$A$11,0))</f>
        <v>Veterinaria Sur</v>
      </c>
      <c r="H204" t="str">
        <f>INDEX(Clientes!$C$2:$C$11,MATCH(Datos_Ventas!C204,Clientes!$A$2:$A$11,0))</f>
        <v>Especializado</v>
      </c>
      <c r="I204" t="str">
        <f>INDEX(Clientes!$D$2:$D$11,MATCH(Datos_Ventas!C204,Clientes!$A$2:$A$11,0))</f>
        <v>Godoy Cruz</v>
      </c>
      <c r="J204">
        <f>Datos_Ventas!E204</f>
        <v>33</v>
      </c>
      <c r="K204" s="29">
        <f>Datos_Ventas!F204</f>
        <v>4800</v>
      </c>
      <c r="L204" s="29">
        <f>Datos_Ventas!G204</f>
        <v>158400</v>
      </c>
      <c r="M204" s="29">
        <f>J204*INDEX(Productos!$D$2:$D$11,MATCH(Datos_Ventas!D204,Productos!$A$2:$A$11,0))</f>
        <v>92400</v>
      </c>
      <c r="N204" s="29">
        <f t="shared" si="14"/>
        <v>66000</v>
      </c>
      <c r="O204" s="30">
        <f>K204/INDEX(Productos!$E$2:$E$11,MATCH(Datos_Ventas!D204,Productos!$A$2:$A$11,0))-1</f>
        <v>-7.6923076923076872E-2</v>
      </c>
      <c r="P204">
        <f t="shared" si="15"/>
        <v>1</v>
      </c>
    </row>
    <row r="205" spans="1:16" x14ac:dyDescent="0.2">
      <c r="A205">
        <f>Datos_Ventas!A205</f>
        <v>214</v>
      </c>
      <c r="B205" s="13">
        <f>Datos_Ventas!B205</f>
        <v>46165</v>
      </c>
      <c r="C205" t="str">
        <f t="shared" si="12"/>
        <v>05 May</v>
      </c>
      <c r="D205" t="str">
        <f t="shared" si="13"/>
        <v>T2</v>
      </c>
      <c r="E205" t="str">
        <f>INDEX(Productos!$B$2:$B$11,MATCH(Datos_Ventas!D205,Productos!$A$2:$A$11,0))</f>
        <v>Galletas Perro</v>
      </c>
      <c r="F205" t="str">
        <f>INDEX(Productos!$C$2:$C$11,MATCH(Datos_Ventas!D205,Productos!$A$2:$A$11,0))</f>
        <v>Snacks</v>
      </c>
      <c r="G205" t="str">
        <f>INDEX(Clientes!$B$2:$B$11,MATCH(Datos_Ventas!C205,Clientes!$A$2:$A$11,0))</f>
        <v>Hiper Centro</v>
      </c>
      <c r="H205" t="str">
        <f>INDEX(Clientes!$C$2:$C$11,MATCH(Datos_Ventas!C205,Clientes!$A$2:$A$11,0))</f>
        <v>Retail</v>
      </c>
      <c r="I205" t="str">
        <f>INDEX(Clientes!$D$2:$D$11,MATCH(Datos_Ventas!C205,Clientes!$A$2:$A$11,0))</f>
        <v>Luján de Cuyo</v>
      </c>
      <c r="J205">
        <f>Datos_Ventas!E205</f>
        <v>16</v>
      </c>
      <c r="K205" s="29">
        <f>Datos_Ventas!F205</f>
        <v>2670</v>
      </c>
      <c r="L205" s="29">
        <f>Datos_Ventas!G205</f>
        <v>42720</v>
      </c>
      <c r="M205" s="29">
        <f>J205*INDEX(Productos!$D$2:$D$11,MATCH(Datos_Ventas!D205,Productos!$A$2:$A$11,0))</f>
        <v>24000</v>
      </c>
      <c r="N205" s="29">
        <f t="shared" si="14"/>
        <v>18720</v>
      </c>
      <c r="O205" s="30">
        <f>K205/INDEX(Productos!$E$2:$E$11,MATCH(Datos_Ventas!D205,Productos!$A$2:$A$11,0))-1</f>
        <v>-1.1111111111111072E-2</v>
      </c>
      <c r="P205">
        <f t="shared" si="15"/>
        <v>1</v>
      </c>
    </row>
    <row r="206" spans="1:16" x14ac:dyDescent="0.2">
      <c r="A206">
        <f>Datos_Ventas!A206</f>
        <v>215</v>
      </c>
      <c r="B206" s="13">
        <f>Datos_Ventas!B206</f>
        <v>46165</v>
      </c>
      <c r="C206" t="str">
        <f t="shared" si="12"/>
        <v>05 May</v>
      </c>
      <c r="D206" t="str">
        <f t="shared" si="13"/>
        <v>T2</v>
      </c>
      <c r="E206" t="str">
        <f>INDEX(Productos!$B$2:$B$11,MATCH(Datos_Ventas!D206,Productos!$A$2:$A$11,0))</f>
        <v>Collar Ajustable</v>
      </c>
      <c r="F206" t="str">
        <f>INDEX(Productos!$C$2:$C$11,MATCH(Datos_Ventas!D206,Productos!$A$2:$A$11,0))</f>
        <v>Accesorios</v>
      </c>
      <c r="G206" t="str">
        <f>INDEX(Clientes!$B$2:$B$11,MATCH(Datos_Ventas!C206,Clientes!$A$2:$A$11,0))</f>
        <v>Kiosco La Esquina</v>
      </c>
      <c r="H206" t="str">
        <f>INDEX(Clientes!$C$2:$C$11,MATCH(Datos_Ventas!C206,Clientes!$A$2:$A$11,0))</f>
        <v>Minorista</v>
      </c>
      <c r="I206" t="str">
        <f>INDEX(Clientes!$D$2:$D$11,MATCH(Datos_Ventas!C206,Clientes!$A$2:$A$11,0))</f>
        <v>Godoy Cruz</v>
      </c>
      <c r="J206">
        <f>Datos_Ventas!E206</f>
        <v>28</v>
      </c>
      <c r="K206" s="29">
        <f>Datos_Ventas!F206</f>
        <v>3860</v>
      </c>
      <c r="L206" s="29">
        <f>Datos_Ventas!G206</f>
        <v>108080</v>
      </c>
      <c r="M206" s="29">
        <f>J206*INDEX(Productos!$D$2:$D$11,MATCH(Datos_Ventas!D206,Productos!$A$2:$A$11,0))</f>
        <v>53200</v>
      </c>
      <c r="N206" s="29">
        <f t="shared" si="14"/>
        <v>54880</v>
      </c>
      <c r="O206" s="30">
        <f>K206/INDEX(Productos!$E$2:$E$11,MATCH(Datos_Ventas!D206,Productos!$A$2:$A$11,0))-1</f>
        <v>7.2222222222222188E-2</v>
      </c>
      <c r="P206">
        <f t="shared" si="15"/>
        <v>1</v>
      </c>
    </row>
    <row r="207" spans="1:16" x14ac:dyDescent="0.2">
      <c r="A207">
        <f>Datos_Ventas!A207</f>
        <v>216</v>
      </c>
      <c r="B207" s="13">
        <f>Datos_Ventas!B207</f>
        <v>46166</v>
      </c>
      <c r="C207" t="str">
        <f t="shared" si="12"/>
        <v>05 May</v>
      </c>
      <c r="D207" t="str">
        <f t="shared" si="13"/>
        <v>T2</v>
      </c>
      <c r="E207" t="str">
        <f>INDEX(Productos!$B$2:$B$11,MATCH(Datos_Ventas!D207,Productos!$A$2:$A$11,0))</f>
        <v>Arena Sanitaria</v>
      </c>
      <c r="F207" t="str">
        <f>INDEX(Productos!$C$2:$C$11,MATCH(Datos_Ventas!D207,Productos!$A$2:$A$11,0))</f>
        <v>Higiene</v>
      </c>
      <c r="G207" t="str">
        <f>INDEX(Clientes!$B$2:$B$11,MATCH(Datos_Ventas!C207,Clientes!$A$2:$A$11,0))</f>
        <v>Autoservicio Norte</v>
      </c>
      <c r="H207" t="str">
        <f>INDEX(Clientes!$C$2:$C$11,MATCH(Datos_Ventas!C207,Clientes!$A$2:$A$11,0))</f>
        <v>Retail</v>
      </c>
      <c r="I207" t="str">
        <f>INDEX(Clientes!$D$2:$D$11,MATCH(Datos_Ventas!C207,Clientes!$A$2:$A$11,0))</f>
        <v>Las Heras</v>
      </c>
      <c r="J207">
        <f>Datos_Ventas!E207</f>
        <v>19</v>
      </c>
      <c r="K207" s="29">
        <f>Datos_Ventas!F207</f>
        <v>4720</v>
      </c>
      <c r="L207" s="29">
        <f>Datos_Ventas!G207</f>
        <v>89680</v>
      </c>
      <c r="M207" s="29">
        <f>J207*INDEX(Productos!$D$2:$D$11,MATCH(Datos_Ventas!D207,Productos!$A$2:$A$11,0))</f>
        <v>49400</v>
      </c>
      <c r="N207" s="29">
        <f t="shared" si="14"/>
        <v>40280</v>
      </c>
      <c r="O207" s="30">
        <f>K207/INDEX(Productos!$E$2:$E$11,MATCH(Datos_Ventas!D207,Productos!$A$2:$A$11,0))-1</f>
        <v>7.2727272727272751E-2</v>
      </c>
      <c r="P207">
        <f t="shared" si="15"/>
        <v>1</v>
      </c>
    </row>
    <row r="208" spans="1:16" x14ac:dyDescent="0.2">
      <c r="A208">
        <f>Datos_Ventas!A208</f>
        <v>217</v>
      </c>
      <c r="B208" s="13">
        <f>Datos_Ventas!B208</f>
        <v>46168</v>
      </c>
      <c r="C208" t="str">
        <f t="shared" si="12"/>
        <v>05 May</v>
      </c>
      <c r="D208" t="str">
        <f t="shared" si="13"/>
        <v>T2</v>
      </c>
      <c r="E208" t="str">
        <f>INDEX(Productos!$B$2:$B$11,MATCH(Datos_Ventas!D208,Productos!$A$2:$A$11,0))</f>
        <v>Snack Dental</v>
      </c>
      <c r="F208" t="str">
        <f>INDEX(Productos!$C$2:$C$11,MATCH(Datos_Ventas!D208,Productos!$A$2:$A$11,0))</f>
        <v>Snacks</v>
      </c>
      <c r="G208" t="str">
        <f>INDEX(Clientes!$B$2:$B$11,MATCH(Datos_Ventas!C208,Clientes!$A$2:$A$11,0))</f>
        <v>Pet Shop Mascotas</v>
      </c>
      <c r="H208" t="str">
        <f>INDEX(Clientes!$C$2:$C$11,MATCH(Datos_Ventas!C208,Clientes!$A$2:$A$11,0))</f>
        <v>Especializado</v>
      </c>
      <c r="I208" t="str">
        <f>INDEX(Clientes!$D$2:$D$11,MATCH(Datos_Ventas!C208,Clientes!$A$2:$A$11,0))</f>
        <v>Mendoza</v>
      </c>
      <c r="J208">
        <f>Datos_Ventas!E208</f>
        <v>16</v>
      </c>
      <c r="K208" s="29">
        <f>Datos_Ventas!F208</f>
        <v>3380</v>
      </c>
      <c r="L208" s="29">
        <f>Datos_Ventas!G208</f>
        <v>54080</v>
      </c>
      <c r="M208" s="29">
        <f>J208*INDEX(Productos!$D$2:$D$11,MATCH(Datos_Ventas!D208,Productos!$A$2:$A$11,0))</f>
        <v>28800</v>
      </c>
      <c r="N208" s="29">
        <f t="shared" si="14"/>
        <v>25280</v>
      </c>
      <c r="O208" s="30">
        <f>K208/INDEX(Productos!$E$2:$E$11,MATCH(Datos_Ventas!D208,Productos!$A$2:$A$11,0))-1</f>
        <v>5.6249999999999911E-2</v>
      </c>
      <c r="P208">
        <f t="shared" si="15"/>
        <v>1</v>
      </c>
    </row>
    <row r="209" spans="1:16" x14ac:dyDescent="0.2">
      <c r="A209">
        <f>Datos_Ventas!A209</f>
        <v>218</v>
      </c>
      <c r="B209" s="13">
        <f>Datos_Ventas!B209</f>
        <v>46168</v>
      </c>
      <c r="C209" t="str">
        <f t="shared" si="12"/>
        <v>05 May</v>
      </c>
      <c r="D209" t="str">
        <f t="shared" si="13"/>
        <v>T2</v>
      </c>
      <c r="E209" t="str">
        <f>INDEX(Productos!$B$2:$B$11,MATCH(Datos_Ventas!D209,Productos!$A$2:$A$11,0))</f>
        <v>Snack Dental</v>
      </c>
      <c r="F209" t="str">
        <f>INDEX(Productos!$C$2:$C$11,MATCH(Datos_Ventas!D209,Productos!$A$2:$A$11,0))</f>
        <v>Snacks</v>
      </c>
      <c r="G209" t="str">
        <f>INDEX(Clientes!$B$2:$B$11,MATCH(Datos_Ventas!C209,Clientes!$A$2:$A$11,0))</f>
        <v>Veterinaria Sur</v>
      </c>
      <c r="H209" t="str">
        <f>INDEX(Clientes!$C$2:$C$11,MATCH(Datos_Ventas!C209,Clientes!$A$2:$A$11,0))</f>
        <v>Especializado</v>
      </c>
      <c r="I209" t="str">
        <f>INDEX(Clientes!$D$2:$D$11,MATCH(Datos_Ventas!C209,Clientes!$A$2:$A$11,0))</f>
        <v>Godoy Cruz</v>
      </c>
      <c r="J209">
        <f>Datos_Ventas!E209</f>
        <v>4</v>
      </c>
      <c r="K209" s="29">
        <f>Datos_Ventas!F209</f>
        <v>3340</v>
      </c>
      <c r="L209" s="29">
        <f>Datos_Ventas!G209</f>
        <v>13360</v>
      </c>
      <c r="M209" s="29">
        <f>J209*INDEX(Productos!$D$2:$D$11,MATCH(Datos_Ventas!D209,Productos!$A$2:$A$11,0))</f>
        <v>7200</v>
      </c>
      <c r="N209" s="29">
        <f t="shared" si="14"/>
        <v>6160</v>
      </c>
      <c r="O209" s="30">
        <f>K209/INDEX(Productos!$E$2:$E$11,MATCH(Datos_Ventas!D209,Productos!$A$2:$A$11,0))-1</f>
        <v>4.3749999999999956E-2</v>
      </c>
      <c r="P209">
        <f t="shared" si="15"/>
        <v>1</v>
      </c>
    </row>
    <row r="210" spans="1:16" x14ac:dyDescent="0.2">
      <c r="A210">
        <f>Datos_Ventas!A210</f>
        <v>219</v>
      </c>
      <c r="B210" s="13">
        <f>Datos_Ventas!B210</f>
        <v>46169</v>
      </c>
      <c r="C210" t="str">
        <f t="shared" si="12"/>
        <v>05 May</v>
      </c>
      <c r="D210" t="str">
        <f t="shared" si="13"/>
        <v>T2</v>
      </c>
      <c r="E210" t="str">
        <f>INDEX(Productos!$B$2:$B$11,MATCH(Datos_Ventas!D210,Productos!$A$2:$A$11,0))</f>
        <v>Alimento Premium 10kg</v>
      </c>
      <c r="F210" t="str">
        <f>INDEX(Productos!$C$2:$C$11,MATCH(Datos_Ventas!D210,Productos!$A$2:$A$11,0))</f>
        <v>Alimentos</v>
      </c>
      <c r="G210" t="str">
        <f>INDEX(Clientes!$B$2:$B$11,MATCH(Datos_Ventas!C210,Clientes!$A$2:$A$11,0))</f>
        <v>Distribuidora Andes</v>
      </c>
      <c r="H210" t="str">
        <f>INDEX(Clientes!$C$2:$C$11,MATCH(Datos_Ventas!C210,Clientes!$A$2:$A$11,0))</f>
        <v>Mayorista</v>
      </c>
      <c r="I210" t="str">
        <f>INDEX(Clientes!$D$2:$D$11,MATCH(Datos_Ventas!C210,Clientes!$A$2:$A$11,0))</f>
        <v>Mendoza</v>
      </c>
      <c r="J210">
        <f>Datos_Ventas!E210</f>
        <v>35</v>
      </c>
      <c r="K210" s="29">
        <f>Datos_Ventas!F210</f>
        <v>19690</v>
      </c>
      <c r="L210" s="29">
        <f>Datos_Ventas!G210</f>
        <v>689150</v>
      </c>
      <c r="M210" s="29">
        <f>J210*INDEX(Productos!$D$2:$D$11,MATCH(Datos_Ventas!D210,Productos!$A$2:$A$11,0))</f>
        <v>437500</v>
      </c>
      <c r="N210" s="29">
        <f t="shared" si="14"/>
        <v>251650</v>
      </c>
      <c r="O210" s="30">
        <f>K210/INDEX(Productos!$E$2:$E$11,MATCH(Datos_Ventas!D210,Productos!$A$2:$A$11,0))-1</f>
        <v>4.1798941798941724E-2</v>
      </c>
      <c r="P210">
        <f t="shared" si="15"/>
        <v>1</v>
      </c>
    </row>
    <row r="211" spans="1:16" x14ac:dyDescent="0.2">
      <c r="A211">
        <f>Datos_Ventas!A211</f>
        <v>220</v>
      </c>
      <c r="B211" s="13">
        <f>Datos_Ventas!B211</f>
        <v>46169</v>
      </c>
      <c r="C211" t="str">
        <f t="shared" si="12"/>
        <v>05 May</v>
      </c>
      <c r="D211" t="str">
        <f t="shared" si="13"/>
        <v>T2</v>
      </c>
      <c r="E211" t="str">
        <f>INDEX(Productos!$B$2:$B$11,MATCH(Datos_Ventas!D211,Productos!$A$2:$A$11,0))</f>
        <v>Alimento Balanceado 15kg</v>
      </c>
      <c r="F211" t="str">
        <f>INDEX(Productos!$C$2:$C$11,MATCH(Datos_Ventas!D211,Productos!$A$2:$A$11,0))</f>
        <v>Alimentos</v>
      </c>
      <c r="G211" t="str">
        <f>INDEX(Clientes!$B$2:$B$11,MATCH(Datos_Ventas!C211,Clientes!$A$2:$A$11,0))</f>
        <v>Despensa Vero</v>
      </c>
      <c r="H211" t="str">
        <f>INDEX(Clientes!$C$2:$C$11,MATCH(Datos_Ventas!C211,Clientes!$A$2:$A$11,0))</f>
        <v>Minorista</v>
      </c>
      <c r="I211" t="str">
        <f>INDEX(Clientes!$D$2:$D$11,MATCH(Datos_Ventas!C211,Clientes!$A$2:$A$11,0))</f>
        <v>Mendoza</v>
      </c>
      <c r="J211">
        <f>Datos_Ventas!E211</f>
        <v>13</v>
      </c>
      <c r="K211" s="29">
        <f>Datos_Ventas!F211</f>
        <v>15230</v>
      </c>
      <c r="L211" s="29">
        <f>Datos_Ventas!G211</f>
        <v>197990</v>
      </c>
      <c r="M211" s="29">
        <f>J211*INDEX(Productos!$D$2:$D$11,MATCH(Datos_Ventas!D211,Productos!$A$2:$A$11,0))</f>
        <v>127400</v>
      </c>
      <c r="N211" s="29">
        <f t="shared" si="14"/>
        <v>70590</v>
      </c>
      <c r="O211" s="30">
        <f>K211/INDEX(Productos!$E$2:$E$11,MATCH(Datos_Ventas!D211,Productos!$A$2:$A$11,0))-1</f>
        <v>5.0344827586206842E-2</v>
      </c>
      <c r="P211">
        <f t="shared" si="15"/>
        <v>1</v>
      </c>
    </row>
    <row r="212" spans="1:16" x14ac:dyDescent="0.2">
      <c r="A212">
        <f>Datos_Ventas!A212</f>
        <v>221</v>
      </c>
      <c r="B212" s="13">
        <f>Datos_Ventas!B212</f>
        <v>46171</v>
      </c>
      <c r="C212" t="str">
        <f t="shared" si="12"/>
        <v>05 May</v>
      </c>
      <c r="D212" t="str">
        <f t="shared" si="13"/>
        <v>T2</v>
      </c>
      <c r="E212" t="str">
        <f>INDEX(Productos!$B$2:$B$11,MATCH(Datos_Ventas!D212,Productos!$A$2:$A$11,0))</f>
        <v>Galletas Perro</v>
      </c>
      <c r="F212" t="str">
        <f>INDEX(Productos!$C$2:$C$11,MATCH(Datos_Ventas!D212,Productos!$A$2:$A$11,0))</f>
        <v>Snacks</v>
      </c>
      <c r="G212" t="str">
        <f>INDEX(Clientes!$B$2:$B$11,MATCH(Datos_Ventas!C212,Clientes!$A$2:$A$11,0))</f>
        <v>Mayorista del Sol</v>
      </c>
      <c r="H212" t="str">
        <f>INDEX(Clientes!$C$2:$C$11,MATCH(Datos_Ventas!C212,Clientes!$A$2:$A$11,0))</f>
        <v>Mayorista</v>
      </c>
      <c r="I212" t="str">
        <f>INDEX(Clientes!$D$2:$D$11,MATCH(Datos_Ventas!C212,Clientes!$A$2:$A$11,0))</f>
        <v>San Martín</v>
      </c>
      <c r="J212">
        <f>Datos_Ventas!E212</f>
        <v>35</v>
      </c>
      <c r="K212" s="29">
        <f>Datos_Ventas!F212</f>
        <v>2860</v>
      </c>
      <c r="L212" s="29">
        <f>Datos_Ventas!G212</f>
        <v>100100</v>
      </c>
      <c r="M212" s="29">
        <f>J212*INDEX(Productos!$D$2:$D$11,MATCH(Datos_Ventas!D212,Productos!$A$2:$A$11,0))</f>
        <v>52500</v>
      </c>
      <c r="N212" s="29">
        <f t="shared" si="14"/>
        <v>47600</v>
      </c>
      <c r="O212" s="30">
        <f>K212/INDEX(Productos!$E$2:$E$11,MATCH(Datos_Ventas!D212,Productos!$A$2:$A$11,0))-1</f>
        <v>5.9259259259259345E-2</v>
      </c>
      <c r="P212">
        <f t="shared" si="15"/>
        <v>1</v>
      </c>
    </row>
    <row r="213" spans="1:16" x14ac:dyDescent="0.2">
      <c r="A213">
        <f>Datos_Ventas!A213</f>
        <v>223</v>
      </c>
      <c r="B213" s="13">
        <f>Datos_Ventas!B213</f>
        <v>46172</v>
      </c>
      <c r="C213" t="str">
        <f t="shared" si="12"/>
        <v>05 May</v>
      </c>
      <c r="D213" t="str">
        <f t="shared" si="13"/>
        <v>T2</v>
      </c>
      <c r="E213" t="str">
        <f>INDEX(Productos!$B$2:$B$11,MATCH(Datos_Ventas!D213,Productos!$A$2:$A$11,0))</f>
        <v>Alimento Balanceado 15kg</v>
      </c>
      <c r="F213" t="str">
        <f>INDEX(Productos!$C$2:$C$11,MATCH(Datos_Ventas!D213,Productos!$A$2:$A$11,0))</f>
        <v>Alimentos</v>
      </c>
      <c r="G213" t="str">
        <f>INDEX(Clientes!$B$2:$B$11,MATCH(Datos_Ventas!C213,Clientes!$A$2:$A$11,0))</f>
        <v>Despensa Vero</v>
      </c>
      <c r="H213" t="str">
        <f>INDEX(Clientes!$C$2:$C$11,MATCH(Datos_Ventas!C213,Clientes!$A$2:$A$11,0))</f>
        <v>Minorista</v>
      </c>
      <c r="I213" t="str">
        <f>INDEX(Clientes!$D$2:$D$11,MATCH(Datos_Ventas!C213,Clientes!$A$2:$A$11,0))</f>
        <v>Mendoza</v>
      </c>
      <c r="J213">
        <f>Datos_Ventas!E213</f>
        <v>30</v>
      </c>
      <c r="K213" s="29">
        <f>Datos_Ventas!F213</f>
        <v>15510</v>
      </c>
      <c r="L213" s="29">
        <f>Datos_Ventas!G213</f>
        <v>465300</v>
      </c>
      <c r="M213" s="29">
        <f>J213*INDEX(Productos!$D$2:$D$11,MATCH(Datos_Ventas!D213,Productos!$A$2:$A$11,0))</f>
        <v>294000</v>
      </c>
      <c r="N213" s="29">
        <f t="shared" si="14"/>
        <v>171300</v>
      </c>
      <c r="O213" s="30">
        <f>K213/INDEX(Productos!$E$2:$E$11,MATCH(Datos_Ventas!D213,Productos!$A$2:$A$11,0))-1</f>
        <v>6.9655172413793043E-2</v>
      </c>
      <c r="P213">
        <f t="shared" si="15"/>
        <v>1</v>
      </c>
    </row>
    <row r="214" spans="1:16" x14ac:dyDescent="0.2">
      <c r="A214">
        <f>Datos_Ventas!A214</f>
        <v>224</v>
      </c>
      <c r="B214" s="13">
        <f>Datos_Ventas!B214</f>
        <v>46173</v>
      </c>
      <c r="C214" t="str">
        <f t="shared" si="12"/>
        <v>05 May</v>
      </c>
      <c r="D214" t="str">
        <f t="shared" si="13"/>
        <v>T2</v>
      </c>
      <c r="E214" t="str">
        <f>INDEX(Productos!$B$2:$B$11,MATCH(Datos_Ventas!D214,Productos!$A$2:$A$11,0))</f>
        <v>Alimento Premium 10kg</v>
      </c>
      <c r="F214" t="str">
        <f>INDEX(Productos!$C$2:$C$11,MATCH(Datos_Ventas!D214,Productos!$A$2:$A$11,0))</f>
        <v>Alimentos</v>
      </c>
      <c r="G214" t="str">
        <f>INDEX(Clientes!$B$2:$B$11,MATCH(Datos_Ventas!C214,Clientes!$A$2:$A$11,0))</f>
        <v>Veterinaria Sur</v>
      </c>
      <c r="H214" t="str">
        <f>INDEX(Clientes!$C$2:$C$11,MATCH(Datos_Ventas!C214,Clientes!$A$2:$A$11,0))</f>
        <v>Especializado</v>
      </c>
      <c r="I214" t="str">
        <f>INDEX(Clientes!$D$2:$D$11,MATCH(Datos_Ventas!C214,Clientes!$A$2:$A$11,0))</f>
        <v>Godoy Cruz</v>
      </c>
      <c r="J214">
        <f>Datos_Ventas!E214</f>
        <v>13</v>
      </c>
      <c r="K214" s="29">
        <f>Datos_Ventas!F214</f>
        <v>18170</v>
      </c>
      <c r="L214" s="29">
        <f>Datos_Ventas!G214</f>
        <v>236210</v>
      </c>
      <c r="M214" s="29">
        <f>J214*INDEX(Productos!$D$2:$D$11,MATCH(Datos_Ventas!D214,Productos!$A$2:$A$11,0))</f>
        <v>162500</v>
      </c>
      <c r="N214" s="29">
        <f t="shared" si="14"/>
        <v>73710</v>
      </c>
      <c r="O214" s="30">
        <f>K214/INDEX(Productos!$E$2:$E$11,MATCH(Datos_Ventas!D214,Productos!$A$2:$A$11,0))-1</f>
        <v>-3.8624338624338672E-2</v>
      </c>
      <c r="P214">
        <f t="shared" si="15"/>
        <v>1</v>
      </c>
    </row>
    <row r="215" spans="1:16" x14ac:dyDescent="0.2">
      <c r="A215">
        <f>Datos_Ventas!A215</f>
        <v>226</v>
      </c>
      <c r="B215" s="13">
        <f>Datos_Ventas!B215</f>
        <v>46173</v>
      </c>
      <c r="C215" t="str">
        <f t="shared" si="12"/>
        <v>05 May</v>
      </c>
      <c r="D215" t="str">
        <f t="shared" si="13"/>
        <v>T2</v>
      </c>
      <c r="E215" t="str">
        <f>INDEX(Productos!$B$2:$B$11,MATCH(Datos_Ventas!D215,Productos!$A$2:$A$11,0))</f>
        <v>Arena Sanitaria</v>
      </c>
      <c r="F215" t="str">
        <f>INDEX(Productos!$C$2:$C$11,MATCH(Datos_Ventas!D215,Productos!$A$2:$A$11,0))</f>
        <v>Higiene</v>
      </c>
      <c r="G215" t="str">
        <f>INDEX(Clientes!$B$2:$B$11,MATCH(Datos_Ventas!C215,Clientes!$A$2:$A$11,0))</f>
        <v>Hiper Centro</v>
      </c>
      <c r="H215" t="str">
        <f>INDEX(Clientes!$C$2:$C$11,MATCH(Datos_Ventas!C215,Clientes!$A$2:$A$11,0))</f>
        <v>Retail</v>
      </c>
      <c r="I215" t="str">
        <f>INDEX(Clientes!$D$2:$D$11,MATCH(Datos_Ventas!C215,Clientes!$A$2:$A$11,0))</f>
        <v>Luján de Cuyo</v>
      </c>
      <c r="J215">
        <f>Datos_Ventas!E215</f>
        <v>28</v>
      </c>
      <c r="K215" s="29">
        <f>Datos_Ventas!F215</f>
        <v>4510</v>
      </c>
      <c r="L215" s="29">
        <f>Datos_Ventas!G215</f>
        <v>126280</v>
      </c>
      <c r="M215" s="29">
        <f>J215*INDEX(Productos!$D$2:$D$11,MATCH(Datos_Ventas!D215,Productos!$A$2:$A$11,0))</f>
        <v>72800</v>
      </c>
      <c r="N215" s="29">
        <f t="shared" si="14"/>
        <v>53480</v>
      </c>
      <c r="O215" s="30">
        <f>K215/INDEX(Productos!$E$2:$E$11,MATCH(Datos_Ventas!D215,Productos!$A$2:$A$11,0))-1</f>
        <v>2.4999999999999911E-2</v>
      </c>
      <c r="P215">
        <f t="shared" si="15"/>
        <v>1</v>
      </c>
    </row>
    <row r="216" spans="1:16" x14ac:dyDescent="0.2">
      <c r="A216">
        <f>Datos_Ventas!A216</f>
        <v>227</v>
      </c>
      <c r="B216" s="13">
        <f>Datos_Ventas!B216</f>
        <v>46174</v>
      </c>
      <c r="C216" t="str">
        <f t="shared" si="12"/>
        <v>06 Jun</v>
      </c>
      <c r="D216" t="str">
        <f t="shared" si="13"/>
        <v>T2</v>
      </c>
      <c r="E216" t="str">
        <f>INDEX(Productos!$B$2:$B$11,MATCH(Datos_Ventas!D216,Productos!$A$2:$A$11,0))</f>
        <v>Alimento Balanceado 15kg</v>
      </c>
      <c r="F216" t="str">
        <f>INDEX(Productos!$C$2:$C$11,MATCH(Datos_Ventas!D216,Productos!$A$2:$A$11,0))</f>
        <v>Alimentos</v>
      </c>
      <c r="G216" t="str">
        <f>INDEX(Clientes!$B$2:$B$11,MATCH(Datos_Ventas!C216,Clientes!$A$2:$A$11,0))</f>
        <v>Pet Shop Mascotas</v>
      </c>
      <c r="H216" t="str">
        <f>INDEX(Clientes!$C$2:$C$11,MATCH(Datos_Ventas!C216,Clientes!$A$2:$A$11,0))</f>
        <v>Especializado</v>
      </c>
      <c r="I216" t="str">
        <f>INDEX(Clientes!$D$2:$D$11,MATCH(Datos_Ventas!C216,Clientes!$A$2:$A$11,0))</f>
        <v>Mendoza</v>
      </c>
      <c r="J216">
        <f>Datos_Ventas!E216</f>
        <v>30</v>
      </c>
      <c r="K216" s="29">
        <f>Datos_Ventas!F216</f>
        <v>14150</v>
      </c>
      <c r="L216" s="29">
        <f>Datos_Ventas!G216</f>
        <v>424500</v>
      </c>
      <c r="M216" s="29">
        <f>J216*INDEX(Productos!$D$2:$D$11,MATCH(Datos_Ventas!D216,Productos!$A$2:$A$11,0))</f>
        <v>294000</v>
      </c>
      <c r="N216" s="29">
        <f t="shared" si="14"/>
        <v>130500</v>
      </c>
      <c r="O216" s="30">
        <f>K216/INDEX(Productos!$E$2:$E$11,MATCH(Datos_Ventas!D216,Productos!$A$2:$A$11,0))-1</f>
        <v>-2.4137931034482807E-2</v>
      </c>
      <c r="P216">
        <f t="shared" si="15"/>
        <v>1</v>
      </c>
    </row>
    <row r="217" spans="1:16" x14ac:dyDescent="0.2">
      <c r="A217">
        <f>Datos_Ventas!A217</f>
        <v>228</v>
      </c>
      <c r="B217" s="13">
        <f>Datos_Ventas!B217</f>
        <v>46174</v>
      </c>
      <c r="C217" t="str">
        <f t="shared" si="12"/>
        <v>06 Jun</v>
      </c>
      <c r="D217" t="str">
        <f t="shared" si="13"/>
        <v>T2</v>
      </c>
      <c r="E217" t="str">
        <f>INDEX(Productos!$B$2:$B$11,MATCH(Datos_Ventas!D217,Productos!$A$2:$A$11,0))</f>
        <v>Juguete Pelota</v>
      </c>
      <c r="F217" t="str">
        <f>INDEX(Productos!$C$2:$C$11,MATCH(Datos_Ventas!D217,Productos!$A$2:$A$11,0))</f>
        <v>Accesorios</v>
      </c>
      <c r="G217" t="str">
        <f>INDEX(Clientes!$B$2:$B$11,MATCH(Datos_Ventas!C217,Clientes!$A$2:$A$11,0))</f>
        <v>Veterinaria Sur</v>
      </c>
      <c r="H217" t="str">
        <f>INDEX(Clientes!$C$2:$C$11,MATCH(Datos_Ventas!C217,Clientes!$A$2:$A$11,0))</f>
        <v>Especializado</v>
      </c>
      <c r="I217" t="str">
        <f>INDEX(Clientes!$D$2:$D$11,MATCH(Datos_Ventas!C217,Clientes!$A$2:$A$11,0))</f>
        <v>Godoy Cruz</v>
      </c>
      <c r="J217">
        <f>Datos_Ventas!E217</f>
        <v>39</v>
      </c>
      <c r="K217" s="29">
        <f>Datos_Ventas!F217</f>
        <v>1810</v>
      </c>
      <c r="L217" s="29">
        <f>Datos_Ventas!G217</f>
        <v>70590</v>
      </c>
      <c r="M217" s="29">
        <f>J217*INDEX(Productos!$D$2:$D$11,MATCH(Datos_Ventas!D217,Productos!$A$2:$A$11,0))</f>
        <v>35100</v>
      </c>
      <c r="N217" s="29">
        <f t="shared" si="14"/>
        <v>35490</v>
      </c>
      <c r="O217" s="30">
        <f>K217/INDEX(Productos!$E$2:$E$11,MATCH(Datos_Ventas!D217,Productos!$A$2:$A$11,0))-1</f>
        <v>5.5555555555555358E-3</v>
      </c>
      <c r="P217">
        <f t="shared" si="15"/>
        <v>1</v>
      </c>
    </row>
    <row r="218" spans="1:16" x14ac:dyDescent="0.2">
      <c r="A218">
        <f>Datos_Ventas!A218</f>
        <v>229</v>
      </c>
      <c r="B218" s="13">
        <f>Datos_Ventas!B218</f>
        <v>46176</v>
      </c>
      <c r="C218" t="str">
        <f t="shared" si="12"/>
        <v>06 Jun</v>
      </c>
      <c r="D218" t="str">
        <f t="shared" si="13"/>
        <v>T2</v>
      </c>
      <c r="E218" t="str">
        <f>INDEX(Productos!$B$2:$B$11,MATCH(Datos_Ventas!D218,Productos!$A$2:$A$11,0))</f>
        <v>Aceite Omega</v>
      </c>
      <c r="F218" t="str">
        <f>INDEX(Productos!$C$2:$C$11,MATCH(Datos_Ventas!D218,Productos!$A$2:$A$11,0))</f>
        <v>Suplementos</v>
      </c>
      <c r="G218" t="str">
        <f>INDEX(Clientes!$B$2:$B$11,MATCH(Datos_Ventas!C218,Clientes!$A$2:$A$11,0))</f>
        <v>Mayorista del Sol</v>
      </c>
      <c r="H218" t="str">
        <f>INDEX(Clientes!$C$2:$C$11,MATCH(Datos_Ventas!C218,Clientes!$A$2:$A$11,0))</f>
        <v>Mayorista</v>
      </c>
      <c r="I218" t="str">
        <f>INDEX(Clientes!$D$2:$D$11,MATCH(Datos_Ventas!C218,Clientes!$A$2:$A$11,0))</f>
        <v>San Martín</v>
      </c>
      <c r="J218">
        <f>Datos_Ventas!E218</f>
        <v>40</v>
      </c>
      <c r="K218" s="29">
        <f>Datos_Ventas!F218</f>
        <v>5650</v>
      </c>
      <c r="L218" s="29">
        <f>Datos_Ventas!G218</f>
        <v>226000</v>
      </c>
      <c r="M218" s="29">
        <f>J218*INDEX(Productos!$D$2:$D$11,MATCH(Datos_Ventas!D218,Productos!$A$2:$A$11,0))</f>
        <v>124000</v>
      </c>
      <c r="N218" s="29">
        <f t="shared" si="14"/>
        <v>102000</v>
      </c>
      <c r="O218" s="30">
        <f>K218/INDEX(Productos!$E$2:$E$11,MATCH(Datos_Ventas!D218,Productos!$A$2:$A$11,0))-1</f>
        <v>8.9285714285713969E-3</v>
      </c>
      <c r="P218">
        <f t="shared" si="15"/>
        <v>1</v>
      </c>
    </row>
    <row r="219" spans="1:16" x14ac:dyDescent="0.2">
      <c r="A219">
        <f>Datos_Ventas!A219</f>
        <v>230</v>
      </c>
      <c r="B219" s="13">
        <f>Datos_Ventas!B219</f>
        <v>46176</v>
      </c>
      <c r="C219" t="str">
        <f t="shared" si="12"/>
        <v>06 Jun</v>
      </c>
      <c r="D219" t="str">
        <f t="shared" si="13"/>
        <v>T2</v>
      </c>
      <c r="E219" t="str">
        <f>INDEX(Productos!$B$2:$B$11,MATCH(Datos_Ventas!D219,Productos!$A$2:$A$11,0))</f>
        <v>Juguete Pelota</v>
      </c>
      <c r="F219" t="str">
        <f>INDEX(Productos!$C$2:$C$11,MATCH(Datos_Ventas!D219,Productos!$A$2:$A$11,0))</f>
        <v>Accesorios</v>
      </c>
      <c r="G219" t="str">
        <f>INDEX(Clientes!$B$2:$B$11,MATCH(Datos_Ventas!C219,Clientes!$A$2:$A$11,0))</f>
        <v>Supermercado Cuyo</v>
      </c>
      <c r="H219" t="str">
        <f>INDEX(Clientes!$C$2:$C$11,MATCH(Datos_Ventas!C219,Clientes!$A$2:$A$11,0))</f>
        <v>Retail</v>
      </c>
      <c r="I219" t="str">
        <f>INDEX(Clientes!$D$2:$D$11,MATCH(Datos_Ventas!C219,Clientes!$A$2:$A$11,0))</f>
        <v>Guaymallén</v>
      </c>
      <c r="J219">
        <f>Datos_Ventas!E219</f>
        <v>15</v>
      </c>
      <c r="K219" s="29">
        <f>Datos_Ventas!F219</f>
        <v>1740</v>
      </c>
      <c r="L219" s="29">
        <f>Datos_Ventas!G219</f>
        <v>26100</v>
      </c>
      <c r="M219" s="29">
        <f>J219*INDEX(Productos!$D$2:$D$11,MATCH(Datos_Ventas!D219,Productos!$A$2:$A$11,0))</f>
        <v>13500</v>
      </c>
      <c r="N219" s="29">
        <f t="shared" si="14"/>
        <v>12600</v>
      </c>
      <c r="O219" s="30">
        <f>K219/INDEX(Productos!$E$2:$E$11,MATCH(Datos_Ventas!D219,Productos!$A$2:$A$11,0))-1</f>
        <v>-3.3333333333333326E-2</v>
      </c>
      <c r="P219">
        <f t="shared" si="15"/>
        <v>1</v>
      </c>
    </row>
    <row r="220" spans="1:16" x14ac:dyDescent="0.2">
      <c r="A220">
        <f>Datos_Ventas!A220</f>
        <v>231</v>
      </c>
      <c r="B220" s="13">
        <f>Datos_Ventas!B220</f>
        <v>46177</v>
      </c>
      <c r="C220" t="str">
        <f t="shared" si="12"/>
        <v>06 Jun</v>
      </c>
      <c r="D220" t="str">
        <f t="shared" si="13"/>
        <v>T2</v>
      </c>
      <c r="E220" t="str">
        <f>INDEX(Productos!$B$2:$B$11,MATCH(Datos_Ventas!D220,Productos!$A$2:$A$11,0))</f>
        <v>Arena Sanitaria</v>
      </c>
      <c r="F220" t="str">
        <f>INDEX(Productos!$C$2:$C$11,MATCH(Datos_Ventas!D220,Productos!$A$2:$A$11,0))</f>
        <v>Higiene</v>
      </c>
      <c r="G220" t="str">
        <f>INDEX(Clientes!$B$2:$B$11,MATCH(Datos_Ventas!C220,Clientes!$A$2:$A$11,0))</f>
        <v>Autoservicio Norte</v>
      </c>
      <c r="H220" t="str">
        <f>INDEX(Clientes!$C$2:$C$11,MATCH(Datos_Ventas!C220,Clientes!$A$2:$A$11,0))</f>
        <v>Retail</v>
      </c>
      <c r="I220" t="str">
        <f>INDEX(Clientes!$D$2:$D$11,MATCH(Datos_Ventas!C220,Clientes!$A$2:$A$11,0))</f>
        <v>Las Heras</v>
      </c>
      <c r="J220">
        <f>Datos_Ventas!E220</f>
        <v>27</v>
      </c>
      <c r="K220" s="29">
        <f>Datos_Ventas!F220</f>
        <v>4060</v>
      </c>
      <c r="L220" s="29">
        <f>Datos_Ventas!G220</f>
        <v>109620</v>
      </c>
      <c r="M220" s="29">
        <f>J220*INDEX(Productos!$D$2:$D$11,MATCH(Datos_Ventas!D220,Productos!$A$2:$A$11,0))</f>
        <v>70200</v>
      </c>
      <c r="N220" s="29">
        <f t="shared" si="14"/>
        <v>39420</v>
      </c>
      <c r="O220" s="30">
        <f>K220/INDEX(Productos!$E$2:$E$11,MATCH(Datos_Ventas!D220,Productos!$A$2:$A$11,0))-1</f>
        <v>-7.7272727272727271E-2</v>
      </c>
      <c r="P220">
        <f t="shared" si="15"/>
        <v>1</v>
      </c>
    </row>
    <row r="221" spans="1:16" x14ac:dyDescent="0.2">
      <c r="A221">
        <f>Datos_Ventas!A221</f>
        <v>232</v>
      </c>
      <c r="B221" s="13">
        <f>Datos_Ventas!B221</f>
        <v>46179</v>
      </c>
      <c r="C221" t="str">
        <f t="shared" si="12"/>
        <v>06 Jun</v>
      </c>
      <c r="D221" t="str">
        <f t="shared" si="13"/>
        <v>T2</v>
      </c>
      <c r="E221" t="str">
        <f>INDEX(Productos!$B$2:$B$11,MATCH(Datos_Ventas!D221,Productos!$A$2:$A$11,0))</f>
        <v>Correa Reforzada</v>
      </c>
      <c r="F221" t="str">
        <f>INDEX(Productos!$C$2:$C$11,MATCH(Datos_Ventas!D221,Productos!$A$2:$A$11,0))</f>
        <v>Accesorios</v>
      </c>
      <c r="G221" t="str">
        <f>INDEX(Clientes!$B$2:$B$11,MATCH(Datos_Ventas!C221,Clientes!$A$2:$A$11,0))</f>
        <v>Hiper Centro</v>
      </c>
      <c r="H221" t="str">
        <f>INDEX(Clientes!$C$2:$C$11,MATCH(Datos_Ventas!C221,Clientes!$A$2:$A$11,0))</f>
        <v>Retail</v>
      </c>
      <c r="I221" t="str">
        <f>INDEX(Clientes!$D$2:$D$11,MATCH(Datos_Ventas!C221,Clientes!$A$2:$A$11,0))</f>
        <v>Luján de Cuyo</v>
      </c>
      <c r="J221">
        <f>Datos_Ventas!E221</f>
        <v>20</v>
      </c>
      <c r="K221" s="29">
        <f>Datos_Ventas!F221</f>
        <v>5030</v>
      </c>
      <c r="L221" s="29">
        <f>Datos_Ventas!G221</f>
        <v>100600</v>
      </c>
      <c r="M221" s="29">
        <f>J221*INDEX(Productos!$D$2:$D$11,MATCH(Datos_Ventas!D221,Productos!$A$2:$A$11,0))</f>
        <v>56000</v>
      </c>
      <c r="N221" s="29">
        <f t="shared" si="14"/>
        <v>44600</v>
      </c>
      <c r="O221" s="30">
        <f>K221/INDEX(Productos!$E$2:$E$11,MATCH(Datos_Ventas!D221,Productos!$A$2:$A$11,0))-1</f>
        <v>-3.2692307692307687E-2</v>
      </c>
      <c r="P221">
        <f t="shared" si="15"/>
        <v>1</v>
      </c>
    </row>
    <row r="222" spans="1:16" x14ac:dyDescent="0.2">
      <c r="A222">
        <f>Datos_Ventas!A222</f>
        <v>233</v>
      </c>
      <c r="B222" s="13">
        <f>Datos_Ventas!B222</f>
        <v>46180</v>
      </c>
      <c r="C222" t="str">
        <f t="shared" si="12"/>
        <v>06 Jun</v>
      </c>
      <c r="D222" t="str">
        <f t="shared" si="13"/>
        <v>T2</v>
      </c>
      <c r="E222" t="str">
        <f>INDEX(Productos!$B$2:$B$11,MATCH(Datos_Ventas!D222,Productos!$A$2:$A$11,0))</f>
        <v>Arena Sanitaria</v>
      </c>
      <c r="F222" t="str">
        <f>INDEX(Productos!$C$2:$C$11,MATCH(Datos_Ventas!D222,Productos!$A$2:$A$11,0))</f>
        <v>Higiene</v>
      </c>
      <c r="G222" t="str">
        <f>INDEX(Clientes!$B$2:$B$11,MATCH(Datos_Ventas!C222,Clientes!$A$2:$A$11,0))</f>
        <v>Autoservicio Norte</v>
      </c>
      <c r="H222" t="str">
        <f>INDEX(Clientes!$C$2:$C$11,MATCH(Datos_Ventas!C222,Clientes!$A$2:$A$11,0))</f>
        <v>Retail</v>
      </c>
      <c r="I222" t="str">
        <f>INDEX(Clientes!$D$2:$D$11,MATCH(Datos_Ventas!C222,Clientes!$A$2:$A$11,0))</f>
        <v>Las Heras</v>
      </c>
      <c r="J222">
        <f>Datos_Ventas!E222</f>
        <v>10</v>
      </c>
      <c r="K222" s="29">
        <f>Datos_Ventas!F222</f>
        <v>4380</v>
      </c>
      <c r="L222" s="29">
        <f>Datos_Ventas!G222</f>
        <v>43800</v>
      </c>
      <c r="M222" s="29">
        <f>J222*INDEX(Productos!$D$2:$D$11,MATCH(Datos_Ventas!D222,Productos!$A$2:$A$11,0))</f>
        <v>26000</v>
      </c>
      <c r="N222" s="29">
        <f t="shared" si="14"/>
        <v>17800</v>
      </c>
      <c r="O222" s="30">
        <f>K222/INDEX(Productos!$E$2:$E$11,MATCH(Datos_Ventas!D222,Productos!$A$2:$A$11,0))-1</f>
        <v>-4.5454545454545192E-3</v>
      </c>
      <c r="P222">
        <f t="shared" si="15"/>
        <v>1</v>
      </c>
    </row>
    <row r="223" spans="1:16" x14ac:dyDescent="0.2">
      <c r="A223">
        <f>Datos_Ventas!A223</f>
        <v>234</v>
      </c>
      <c r="B223" s="13">
        <f>Datos_Ventas!B223</f>
        <v>46180</v>
      </c>
      <c r="C223" t="str">
        <f t="shared" si="12"/>
        <v>06 Jun</v>
      </c>
      <c r="D223" t="str">
        <f t="shared" si="13"/>
        <v>T2</v>
      </c>
      <c r="E223" t="str">
        <f>INDEX(Productos!$B$2:$B$11,MATCH(Datos_Ventas!D223,Productos!$A$2:$A$11,0))</f>
        <v>Galletas Perro</v>
      </c>
      <c r="F223" t="str">
        <f>INDEX(Productos!$C$2:$C$11,MATCH(Datos_Ventas!D223,Productos!$A$2:$A$11,0))</f>
        <v>Snacks</v>
      </c>
      <c r="G223" t="str">
        <f>INDEX(Clientes!$B$2:$B$11,MATCH(Datos_Ventas!C223,Clientes!$A$2:$A$11,0))</f>
        <v>Autoservicio Norte</v>
      </c>
      <c r="H223" t="str">
        <f>INDEX(Clientes!$C$2:$C$11,MATCH(Datos_Ventas!C223,Clientes!$A$2:$A$11,0))</f>
        <v>Retail</v>
      </c>
      <c r="I223" t="str">
        <f>INDEX(Clientes!$D$2:$D$11,MATCH(Datos_Ventas!C223,Clientes!$A$2:$A$11,0))</f>
        <v>Las Heras</v>
      </c>
      <c r="J223">
        <f>Datos_Ventas!E223</f>
        <v>36</v>
      </c>
      <c r="K223" s="29">
        <f>Datos_Ventas!F223</f>
        <v>2530</v>
      </c>
      <c r="L223" s="29">
        <f>Datos_Ventas!G223</f>
        <v>91080</v>
      </c>
      <c r="M223" s="29">
        <f>J223*INDEX(Productos!$D$2:$D$11,MATCH(Datos_Ventas!D223,Productos!$A$2:$A$11,0))</f>
        <v>54000</v>
      </c>
      <c r="N223" s="29">
        <f t="shared" si="14"/>
        <v>37080</v>
      </c>
      <c r="O223" s="30">
        <f>K223/INDEX(Productos!$E$2:$E$11,MATCH(Datos_Ventas!D223,Productos!$A$2:$A$11,0))-1</f>
        <v>-6.2962962962962998E-2</v>
      </c>
      <c r="P223">
        <f t="shared" si="15"/>
        <v>1</v>
      </c>
    </row>
    <row r="224" spans="1:16" x14ac:dyDescent="0.2">
      <c r="A224">
        <f>Datos_Ventas!A224</f>
        <v>236</v>
      </c>
      <c r="B224" s="13">
        <f>Datos_Ventas!B224</f>
        <v>46182</v>
      </c>
      <c r="C224" t="str">
        <f t="shared" si="12"/>
        <v>06 Jun</v>
      </c>
      <c r="D224" t="str">
        <f t="shared" si="13"/>
        <v>T2</v>
      </c>
      <c r="E224" t="str">
        <f>INDEX(Productos!$B$2:$B$11,MATCH(Datos_Ventas!D224,Productos!$A$2:$A$11,0))</f>
        <v>Alimento Premium 10kg</v>
      </c>
      <c r="F224" t="str">
        <f>INDEX(Productos!$C$2:$C$11,MATCH(Datos_Ventas!D224,Productos!$A$2:$A$11,0))</f>
        <v>Alimentos</v>
      </c>
      <c r="G224" t="str">
        <f>INDEX(Clientes!$B$2:$B$11,MATCH(Datos_Ventas!C224,Clientes!$A$2:$A$11,0))</f>
        <v>Autoservicio Norte</v>
      </c>
      <c r="H224" t="str">
        <f>INDEX(Clientes!$C$2:$C$11,MATCH(Datos_Ventas!C224,Clientes!$A$2:$A$11,0))</f>
        <v>Retail</v>
      </c>
      <c r="I224" t="str">
        <f>INDEX(Clientes!$D$2:$D$11,MATCH(Datos_Ventas!C224,Clientes!$A$2:$A$11,0))</f>
        <v>Las Heras</v>
      </c>
      <c r="J224">
        <f>Datos_Ventas!E224</f>
        <v>17</v>
      </c>
      <c r="K224" s="29">
        <f>Datos_Ventas!F224</f>
        <v>19860</v>
      </c>
      <c r="L224" s="29">
        <f>Datos_Ventas!G224</f>
        <v>337620</v>
      </c>
      <c r="M224" s="29">
        <f>J224*INDEX(Productos!$D$2:$D$11,MATCH(Datos_Ventas!D224,Productos!$A$2:$A$11,0))</f>
        <v>212500</v>
      </c>
      <c r="N224" s="29">
        <f t="shared" si="14"/>
        <v>125120</v>
      </c>
      <c r="O224" s="30">
        <f>K224/INDEX(Productos!$E$2:$E$11,MATCH(Datos_Ventas!D224,Productos!$A$2:$A$11,0))-1</f>
        <v>5.0793650793650835E-2</v>
      </c>
      <c r="P224">
        <f t="shared" si="15"/>
        <v>1</v>
      </c>
    </row>
    <row r="225" spans="1:16" x14ac:dyDescent="0.2">
      <c r="A225">
        <f>Datos_Ventas!A225</f>
        <v>237</v>
      </c>
      <c r="B225" s="13">
        <f>Datos_Ventas!B225</f>
        <v>46182</v>
      </c>
      <c r="C225" t="str">
        <f t="shared" si="12"/>
        <v>06 Jun</v>
      </c>
      <c r="D225" t="str">
        <f t="shared" si="13"/>
        <v>T2</v>
      </c>
      <c r="E225" t="str">
        <f>INDEX(Productos!$B$2:$B$11,MATCH(Datos_Ventas!D225,Productos!$A$2:$A$11,0))</f>
        <v>Collar Ajustable</v>
      </c>
      <c r="F225" t="str">
        <f>INDEX(Productos!$C$2:$C$11,MATCH(Datos_Ventas!D225,Productos!$A$2:$A$11,0))</f>
        <v>Accesorios</v>
      </c>
      <c r="G225" t="str">
        <f>INDEX(Clientes!$B$2:$B$11,MATCH(Datos_Ventas!C225,Clientes!$A$2:$A$11,0))</f>
        <v>Pet Shop Mascotas</v>
      </c>
      <c r="H225" t="str">
        <f>INDEX(Clientes!$C$2:$C$11,MATCH(Datos_Ventas!C225,Clientes!$A$2:$A$11,0))</f>
        <v>Especializado</v>
      </c>
      <c r="I225" t="str">
        <f>INDEX(Clientes!$D$2:$D$11,MATCH(Datos_Ventas!C225,Clientes!$A$2:$A$11,0))</f>
        <v>Mendoza</v>
      </c>
      <c r="J225">
        <f>Datos_Ventas!E225</f>
        <v>33</v>
      </c>
      <c r="K225" s="29">
        <f>Datos_Ventas!F225</f>
        <v>3580</v>
      </c>
      <c r="L225" s="29">
        <f>Datos_Ventas!G225</f>
        <v>118140</v>
      </c>
      <c r="M225" s="29">
        <f>J225*INDEX(Productos!$D$2:$D$11,MATCH(Datos_Ventas!D225,Productos!$A$2:$A$11,0))</f>
        <v>62700</v>
      </c>
      <c r="N225" s="29">
        <f t="shared" si="14"/>
        <v>55440</v>
      </c>
      <c r="O225" s="30">
        <f>K225/INDEX(Productos!$E$2:$E$11,MATCH(Datos_Ventas!D225,Productos!$A$2:$A$11,0))-1</f>
        <v>-5.5555555555555358E-3</v>
      </c>
      <c r="P225">
        <f t="shared" si="15"/>
        <v>1</v>
      </c>
    </row>
    <row r="226" spans="1:16" x14ac:dyDescent="0.2">
      <c r="A226">
        <f>Datos_Ventas!A226</f>
        <v>239</v>
      </c>
      <c r="B226" s="13">
        <f>Datos_Ventas!B226</f>
        <v>46182</v>
      </c>
      <c r="C226" t="str">
        <f t="shared" si="12"/>
        <v>06 Jun</v>
      </c>
      <c r="D226" t="str">
        <f t="shared" si="13"/>
        <v>T2</v>
      </c>
      <c r="E226" t="str">
        <f>INDEX(Productos!$B$2:$B$11,MATCH(Datos_Ventas!D226,Productos!$A$2:$A$11,0))</f>
        <v>Galletas Perro</v>
      </c>
      <c r="F226" t="str">
        <f>INDEX(Productos!$C$2:$C$11,MATCH(Datos_Ventas!D226,Productos!$A$2:$A$11,0))</f>
        <v>Snacks</v>
      </c>
      <c r="G226" t="str">
        <f>INDEX(Clientes!$B$2:$B$11,MATCH(Datos_Ventas!C226,Clientes!$A$2:$A$11,0))</f>
        <v>Kiosco La Esquina</v>
      </c>
      <c r="H226" t="str">
        <f>INDEX(Clientes!$C$2:$C$11,MATCH(Datos_Ventas!C226,Clientes!$A$2:$A$11,0))</f>
        <v>Minorista</v>
      </c>
      <c r="I226" t="str">
        <f>INDEX(Clientes!$D$2:$D$11,MATCH(Datos_Ventas!C226,Clientes!$A$2:$A$11,0))</f>
        <v>Godoy Cruz</v>
      </c>
      <c r="J226">
        <f>Datos_Ventas!E226</f>
        <v>5</v>
      </c>
      <c r="K226" s="29">
        <f>Datos_Ventas!F226</f>
        <v>2750</v>
      </c>
      <c r="L226" s="29">
        <f>Datos_Ventas!G226</f>
        <v>13750</v>
      </c>
      <c r="M226" s="29">
        <f>J226*INDEX(Productos!$D$2:$D$11,MATCH(Datos_Ventas!D226,Productos!$A$2:$A$11,0))</f>
        <v>7500</v>
      </c>
      <c r="N226" s="29">
        <f t="shared" si="14"/>
        <v>6250</v>
      </c>
      <c r="O226" s="30">
        <f>K226/INDEX(Productos!$E$2:$E$11,MATCH(Datos_Ventas!D226,Productos!$A$2:$A$11,0))-1</f>
        <v>1.8518518518518601E-2</v>
      </c>
      <c r="P226">
        <f t="shared" si="15"/>
        <v>1</v>
      </c>
    </row>
    <row r="227" spans="1:16" x14ac:dyDescent="0.2">
      <c r="A227">
        <f>Datos_Ventas!A227</f>
        <v>240</v>
      </c>
      <c r="B227" s="13">
        <f>Datos_Ventas!B227</f>
        <v>46183</v>
      </c>
      <c r="C227" t="str">
        <f t="shared" si="12"/>
        <v>06 Jun</v>
      </c>
      <c r="D227" t="str">
        <f t="shared" si="13"/>
        <v>T2</v>
      </c>
      <c r="E227" t="str">
        <f>INDEX(Productos!$B$2:$B$11,MATCH(Datos_Ventas!D227,Productos!$A$2:$A$11,0))</f>
        <v>Alimento Premium 10kg</v>
      </c>
      <c r="F227" t="str">
        <f>INDEX(Productos!$C$2:$C$11,MATCH(Datos_Ventas!D227,Productos!$A$2:$A$11,0))</f>
        <v>Alimentos</v>
      </c>
      <c r="G227" t="str">
        <f>INDEX(Clientes!$B$2:$B$11,MATCH(Datos_Ventas!C227,Clientes!$A$2:$A$11,0))</f>
        <v>Kiosco La Esquina</v>
      </c>
      <c r="H227" t="str">
        <f>INDEX(Clientes!$C$2:$C$11,MATCH(Datos_Ventas!C227,Clientes!$A$2:$A$11,0))</f>
        <v>Minorista</v>
      </c>
      <c r="I227" t="str">
        <f>INDEX(Clientes!$D$2:$D$11,MATCH(Datos_Ventas!C227,Clientes!$A$2:$A$11,0))</f>
        <v>Godoy Cruz</v>
      </c>
      <c r="J227">
        <f>Datos_Ventas!E227</f>
        <v>35</v>
      </c>
      <c r="K227" s="29">
        <f>Datos_Ventas!F227</f>
        <v>20360</v>
      </c>
      <c r="L227" s="29">
        <f>Datos_Ventas!G227</f>
        <v>712600</v>
      </c>
      <c r="M227" s="29">
        <f>J227*INDEX(Productos!$D$2:$D$11,MATCH(Datos_Ventas!D227,Productos!$A$2:$A$11,0))</f>
        <v>437500</v>
      </c>
      <c r="N227" s="29">
        <f t="shared" si="14"/>
        <v>275100</v>
      </c>
      <c r="O227" s="30">
        <f>K227/INDEX(Productos!$E$2:$E$11,MATCH(Datos_Ventas!D227,Productos!$A$2:$A$11,0))-1</f>
        <v>7.7248677248677344E-2</v>
      </c>
      <c r="P227">
        <f t="shared" si="15"/>
        <v>1</v>
      </c>
    </row>
    <row r="228" spans="1:16" x14ac:dyDescent="0.2">
      <c r="A228">
        <f>Datos_Ventas!A228</f>
        <v>241</v>
      </c>
      <c r="B228" s="13">
        <f>Datos_Ventas!B228</f>
        <v>46183</v>
      </c>
      <c r="C228" t="str">
        <f t="shared" si="12"/>
        <v>06 Jun</v>
      </c>
      <c r="D228" t="str">
        <f t="shared" si="13"/>
        <v>T2</v>
      </c>
      <c r="E228" t="str">
        <f>INDEX(Productos!$B$2:$B$11,MATCH(Datos_Ventas!D228,Productos!$A$2:$A$11,0))</f>
        <v>Snack Dental</v>
      </c>
      <c r="F228" t="str">
        <f>INDEX(Productos!$C$2:$C$11,MATCH(Datos_Ventas!D228,Productos!$A$2:$A$11,0))</f>
        <v>Snacks</v>
      </c>
      <c r="G228" t="str">
        <f>INDEX(Clientes!$B$2:$B$11,MATCH(Datos_Ventas!C228,Clientes!$A$2:$A$11,0))</f>
        <v>Supermercado Cuyo</v>
      </c>
      <c r="H228" t="str">
        <f>INDEX(Clientes!$C$2:$C$11,MATCH(Datos_Ventas!C228,Clientes!$A$2:$A$11,0))</f>
        <v>Retail</v>
      </c>
      <c r="I228" t="str">
        <f>INDEX(Clientes!$D$2:$D$11,MATCH(Datos_Ventas!C228,Clientes!$A$2:$A$11,0))</f>
        <v>Guaymallén</v>
      </c>
      <c r="J228">
        <f>Datos_Ventas!E228</f>
        <v>35</v>
      </c>
      <c r="K228" s="29">
        <f>Datos_Ventas!F228</f>
        <v>2980</v>
      </c>
      <c r="L228" s="29">
        <f>Datos_Ventas!G228</f>
        <v>104300</v>
      </c>
      <c r="M228" s="29">
        <f>J228*INDEX(Productos!$D$2:$D$11,MATCH(Datos_Ventas!D228,Productos!$A$2:$A$11,0))</f>
        <v>63000</v>
      </c>
      <c r="N228" s="29">
        <f t="shared" si="14"/>
        <v>41300</v>
      </c>
      <c r="O228" s="30">
        <f>K228/INDEX(Productos!$E$2:$E$11,MATCH(Datos_Ventas!D228,Productos!$A$2:$A$11,0))-1</f>
        <v>-6.8749999999999978E-2</v>
      </c>
      <c r="P228">
        <f t="shared" si="15"/>
        <v>1</v>
      </c>
    </row>
    <row r="229" spans="1:16" x14ac:dyDescent="0.2">
      <c r="A229">
        <f>Datos_Ventas!A229</f>
        <v>242</v>
      </c>
      <c r="B229" s="13">
        <f>Datos_Ventas!B229</f>
        <v>46183</v>
      </c>
      <c r="C229" t="str">
        <f t="shared" si="12"/>
        <v>06 Jun</v>
      </c>
      <c r="D229" t="str">
        <f t="shared" si="13"/>
        <v>T2</v>
      </c>
      <c r="E229" t="str">
        <f>INDEX(Productos!$B$2:$B$11,MATCH(Datos_Ventas!D229,Productos!$A$2:$A$11,0))</f>
        <v>Juguete Pelota</v>
      </c>
      <c r="F229" t="str">
        <f>INDEX(Productos!$C$2:$C$11,MATCH(Datos_Ventas!D229,Productos!$A$2:$A$11,0))</f>
        <v>Accesorios</v>
      </c>
      <c r="G229" t="str">
        <f>INDEX(Clientes!$B$2:$B$11,MATCH(Datos_Ventas!C229,Clientes!$A$2:$A$11,0))</f>
        <v>Despensa Vero</v>
      </c>
      <c r="H229" t="str">
        <f>INDEX(Clientes!$C$2:$C$11,MATCH(Datos_Ventas!C229,Clientes!$A$2:$A$11,0))</f>
        <v>Minorista</v>
      </c>
      <c r="I229" t="str">
        <f>INDEX(Clientes!$D$2:$D$11,MATCH(Datos_Ventas!C229,Clientes!$A$2:$A$11,0))</f>
        <v>Mendoza</v>
      </c>
      <c r="J229">
        <f>Datos_Ventas!E229</f>
        <v>1</v>
      </c>
      <c r="K229" s="29">
        <f>Datos_Ventas!F229</f>
        <v>1910</v>
      </c>
      <c r="L229" s="29">
        <f>Datos_Ventas!G229</f>
        <v>1910</v>
      </c>
      <c r="M229" s="29">
        <f>J229*INDEX(Productos!$D$2:$D$11,MATCH(Datos_Ventas!D229,Productos!$A$2:$A$11,0))</f>
        <v>900</v>
      </c>
      <c r="N229" s="29">
        <f t="shared" si="14"/>
        <v>1010</v>
      </c>
      <c r="O229" s="30">
        <f>K229/INDEX(Productos!$E$2:$E$11,MATCH(Datos_Ventas!D229,Productos!$A$2:$A$11,0))-1</f>
        <v>6.1111111111111116E-2</v>
      </c>
      <c r="P229">
        <f t="shared" si="15"/>
        <v>1</v>
      </c>
    </row>
    <row r="230" spans="1:16" x14ac:dyDescent="0.2">
      <c r="A230">
        <f>Datos_Ventas!A230</f>
        <v>243</v>
      </c>
      <c r="B230" s="13">
        <f>Datos_Ventas!B230</f>
        <v>46183</v>
      </c>
      <c r="C230" t="str">
        <f t="shared" si="12"/>
        <v>06 Jun</v>
      </c>
      <c r="D230" t="str">
        <f t="shared" si="13"/>
        <v>T2</v>
      </c>
      <c r="E230" t="str">
        <f>INDEX(Productos!$B$2:$B$11,MATCH(Datos_Ventas!D230,Productos!$A$2:$A$11,0))</f>
        <v>Alimento Premium 10kg</v>
      </c>
      <c r="F230" t="str">
        <f>INDEX(Productos!$C$2:$C$11,MATCH(Datos_Ventas!D230,Productos!$A$2:$A$11,0))</f>
        <v>Alimentos</v>
      </c>
      <c r="G230" t="str">
        <f>INDEX(Clientes!$B$2:$B$11,MATCH(Datos_Ventas!C230,Clientes!$A$2:$A$11,0))</f>
        <v>Kiosco La Esquina</v>
      </c>
      <c r="H230" t="str">
        <f>INDEX(Clientes!$C$2:$C$11,MATCH(Datos_Ventas!C230,Clientes!$A$2:$A$11,0))</f>
        <v>Minorista</v>
      </c>
      <c r="I230" t="str">
        <f>INDEX(Clientes!$D$2:$D$11,MATCH(Datos_Ventas!C230,Clientes!$A$2:$A$11,0))</f>
        <v>Godoy Cruz</v>
      </c>
      <c r="J230">
        <f>Datos_Ventas!E230</f>
        <v>21</v>
      </c>
      <c r="K230" s="29">
        <f>Datos_Ventas!F230</f>
        <v>18610</v>
      </c>
      <c r="L230" s="29">
        <f>Datos_Ventas!G230</f>
        <v>390810</v>
      </c>
      <c r="M230" s="29">
        <f>J230*INDEX(Productos!$D$2:$D$11,MATCH(Datos_Ventas!D230,Productos!$A$2:$A$11,0))</f>
        <v>262500</v>
      </c>
      <c r="N230" s="29">
        <f t="shared" si="14"/>
        <v>128310</v>
      </c>
      <c r="O230" s="30">
        <f>K230/INDEX(Productos!$E$2:$E$11,MATCH(Datos_Ventas!D230,Productos!$A$2:$A$11,0))-1</f>
        <v>-1.5343915343915326E-2</v>
      </c>
      <c r="P230">
        <f t="shared" si="15"/>
        <v>1</v>
      </c>
    </row>
    <row r="231" spans="1:16" x14ac:dyDescent="0.2">
      <c r="A231">
        <f>Datos_Ventas!A231</f>
        <v>244</v>
      </c>
      <c r="B231" s="13">
        <f>Datos_Ventas!B231</f>
        <v>46183</v>
      </c>
      <c r="C231" t="str">
        <f t="shared" si="12"/>
        <v>06 Jun</v>
      </c>
      <c r="D231" t="str">
        <f t="shared" si="13"/>
        <v>T2</v>
      </c>
      <c r="E231" t="str">
        <f>INDEX(Productos!$B$2:$B$11,MATCH(Datos_Ventas!D231,Productos!$A$2:$A$11,0))</f>
        <v>Arena Sanitaria</v>
      </c>
      <c r="F231" t="str">
        <f>INDEX(Productos!$C$2:$C$11,MATCH(Datos_Ventas!D231,Productos!$A$2:$A$11,0))</f>
        <v>Higiene</v>
      </c>
      <c r="G231" t="str">
        <f>INDEX(Clientes!$B$2:$B$11,MATCH(Datos_Ventas!C231,Clientes!$A$2:$A$11,0))</f>
        <v>Autoservicio Norte</v>
      </c>
      <c r="H231" t="str">
        <f>INDEX(Clientes!$C$2:$C$11,MATCH(Datos_Ventas!C231,Clientes!$A$2:$A$11,0))</f>
        <v>Retail</v>
      </c>
      <c r="I231" t="str">
        <f>INDEX(Clientes!$D$2:$D$11,MATCH(Datos_Ventas!C231,Clientes!$A$2:$A$11,0))</f>
        <v>Las Heras</v>
      </c>
      <c r="J231">
        <f>Datos_Ventas!E231</f>
        <v>14</v>
      </c>
      <c r="K231" s="29">
        <f>Datos_Ventas!F231</f>
        <v>4200</v>
      </c>
      <c r="L231" s="29">
        <f>Datos_Ventas!G231</f>
        <v>58800</v>
      </c>
      <c r="M231" s="29">
        <f>J231*INDEX(Productos!$D$2:$D$11,MATCH(Datos_Ventas!D231,Productos!$A$2:$A$11,0))</f>
        <v>36400</v>
      </c>
      <c r="N231" s="29">
        <f t="shared" si="14"/>
        <v>22400</v>
      </c>
      <c r="O231" s="30">
        <f>K231/INDEX(Productos!$E$2:$E$11,MATCH(Datos_Ventas!D231,Productos!$A$2:$A$11,0))-1</f>
        <v>-4.5454545454545414E-2</v>
      </c>
      <c r="P231">
        <f t="shared" si="15"/>
        <v>1</v>
      </c>
    </row>
    <row r="232" spans="1:16" x14ac:dyDescent="0.2">
      <c r="A232">
        <f>Datos_Ventas!A232</f>
        <v>245</v>
      </c>
      <c r="B232" s="13">
        <f>Datos_Ventas!B232</f>
        <v>46184</v>
      </c>
      <c r="C232" t="str">
        <f t="shared" si="12"/>
        <v>06 Jun</v>
      </c>
      <c r="D232" t="str">
        <f t="shared" si="13"/>
        <v>T2</v>
      </c>
      <c r="E232" t="str">
        <f>INDEX(Productos!$B$2:$B$11,MATCH(Datos_Ventas!D232,Productos!$A$2:$A$11,0))</f>
        <v>Snack Dental</v>
      </c>
      <c r="F232" t="str">
        <f>INDEX(Productos!$C$2:$C$11,MATCH(Datos_Ventas!D232,Productos!$A$2:$A$11,0))</f>
        <v>Snacks</v>
      </c>
      <c r="G232" t="str">
        <f>INDEX(Clientes!$B$2:$B$11,MATCH(Datos_Ventas!C232,Clientes!$A$2:$A$11,0))</f>
        <v>Kiosco La Esquina</v>
      </c>
      <c r="H232" t="str">
        <f>INDEX(Clientes!$C$2:$C$11,MATCH(Datos_Ventas!C232,Clientes!$A$2:$A$11,0))</f>
        <v>Minorista</v>
      </c>
      <c r="I232" t="str">
        <f>INDEX(Clientes!$D$2:$D$11,MATCH(Datos_Ventas!C232,Clientes!$A$2:$A$11,0))</f>
        <v>Godoy Cruz</v>
      </c>
      <c r="J232">
        <f>Datos_Ventas!E232</f>
        <v>16</v>
      </c>
      <c r="K232" s="29">
        <f>Datos_Ventas!F232</f>
        <v>3100</v>
      </c>
      <c r="L232" s="29">
        <f>Datos_Ventas!G232</f>
        <v>49600</v>
      </c>
      <c r="M232" s="29">
        <f>J232*INDEX(Productos!$D$2:$D$11,MATCH(Datos_Ventas!D232,Productos!$A$2:$A$11,0))</f>
        <v>28800</v>
      </c>
      <c r="N232" s="29">
        <f t="shared" si="14"/>
        <v>20800</v>
      </c>
      <c r="O232" s="30">
        <f>K232/INDEX(Productos!$E$2:$E$11,MATCH(Datos_Ventas!D232,Productos!$A$2:$A$11,0))-1</f>
        <v>-3.125E-2</v>
      </c>
      <c r="P232">
        <f t="shared" si="15"/>
        <v>1</v>
      </c>
    </row>
    <row r="233" spans="1:16" x14ac:dyDescent="0.2">
      <c r="A233">
        <f>Datos_Ventas!A233</f>
        <v>246</v>
      </c>
      <c r="B233" s="13">
        <f>Datos_Ventas!B233</f>
        <v>46185</v>
      </c>
      <c r="C233" t="str">
        <f t="shared" si="12"/>
        <v>06 Jun</v>
      </c>
      <c r="D233" t="str">
        <f t="shared" si="13"/>
        <v>T2</v>
      </c>
      <c r="E233" t="str">
        <f>INDEX(Productos!$B$2:$B$11,MATCH(Datos_Ventas!D233,Productos!$A$2:$A$11,0))</f>
        <v>Snack Dental</v>
      </c>
      <c r="F233" t="str">
        <f>INDEX(Productos!$C$2:$C$11,MATCH(Datos_Ventas!D233,Productos!$A$2:$A$11,0))</f>
        <v>Snacks</v>
      </c>
      <c r="G233" t="str">
        <f>INDEX(Clientes!$B$2:$B$11,MATCH(Datos_Ventas!C233,Clientes!$A$2:$A$11,0))</f>
        <v>Hiper Centro</v>
      </c>
      <c r="H233" t="str">
        <f>INDEX(Clientes!$C$2:$C$11,MATCH(Datos_Ventas!C233,Clientes!$A$2:$A$11,0))</f>
        <v>Retail</v>
      </c>
      <c r="I233" t="str">
        <f>INDEX(Clientes!$D$2:$D$11,MATCH(Datos_Ventas!C233,Clientes!$A$2:$A$11,0))</f>
        <v>Luján de Cuyo</v>
      </c>
      <c r="J233">
        <f>Datos_Ventas!E233</f>
        <v>6</v>
      </c>
      <c r="K233" s="29">
        <f>Datos_Ventas!F233</f>
        <v>3260</v>
      </c>
      <c r="L233" s="29">
        <f>Datos_Ventas!G233</f>
        <v>19560</v>
      </c>
      <c r="M233" s="29">
        <f>J233*INDEX(Productos!$D$2:$D$11,MATCH(Datos_Ventas!D233,Productos!$A$2:$A$11,0))</f>
        <v>10800</v>
      </c>
      <c r="N233" s="29">
        <f t="shared" si="14"/>
        <v>8760</v>
      </c>
      <c r="O233" s="30">
        <f>K233/INDEX(Productos!$E$2:$E$11,MATCH(Datos_Ventas!D233,Productos!$A$2:$A$11,0))-1</f>
        <v>1.8750000000000044E-2</v>
      </c>
      <c r="P233">
        <f t="shared" si="15"/>
        <v>1</v>
      </c>
    </row>
    <row r="234" spans="1:16" x14ac:dyDescent="0.2">
      <c r="A234">
        <f>Datos_Ventas!A234</f>
        <v>247</v>
      </c>
      <c r="B234" s="13">
        <f>Datos_Ventas!B234</f>
        <v>46185</v>
      </c>
      <c r="C234" t="str">
        <f t="shared" si="12"/>
        <v>06 Jun</v>
      </c>
      <c r="D234" t="str">
        <f t="shared" si="13"/>
        <v>T2</v>
      </c>
      <c r="E234" t="str">
        <f>INDEX(Productos!$B$2:$B$11,MATCH(Datos_Ventas!D234,Productos!$A$2:$A$11,0))</f>
        <v>Arena Sanitaria</v>
      </c>
      <c r="F234" t="str">
        <f>INDEX(Productos!$C$2:$C$11,MATCH(Datos_Ventas!D234,Productos!$A$2:$A$11,0))</f>
        <v>Higiene</v>
      </c>
      <c r="G234" t="str">
        <f>INDEX(Clientes!$B$2:$B$11,MATCH(Datos_Ventas!C234,Clientes!$A$2:$A$11,0))</f>
        <v>Autoservicio Norte</v>
      </c>
      <c r="H234" t="str">
        <f>INDEX(Clientes!$C$2:$C$11,MATCH(Datos_Ventas!C234,Clientes!$A$2:$A$11,0))</f>
        <v>Retail</v>
      </c>
      <c r="I234" t="str">
        <f>INDEX(Clientes!$D$2:$D$11,MATCH(Datos_Ventas!C234,Clientes!$A$2:$A$11,0))</f>
        <v>Las Heras</v>
      </c>
      <c r="J234">
        <f>Datos_Ventas!E234</f>
        <v>19</v>
      </c>
      <c r="K234" s="29">
        <f>Datos_Ventas!F234</f>
        <v>4370</v>
      </c>
      <c r="L234" s="29">
        <f>Datos_Ventas!G234</f>
        <v>83030</v>
      </c>
      <c r="M234" s="29">
        <f>J234*INDEX(Productos!$D$2:$D$11,MATCH(Datos_Ventas!D234,Productos!$A$2:$A$11,0))</f>
        <v>49400</v>
      </c>
      <c r="N234" s="29">
        <f t="shared" si="14"/>
        <v>33630</v>
      </c>
      <c r="O234" s="30">
        <f>K234/INDEX(Productos!$E$2:$E$11,MATCH(Datos_Ventas!D234,Productos!$A$2:$A$11,0))-1</f>
        <v>-6.8181818181818343E-3</v>
      </c>
      <c r="P234">
        <f t="shared" si="15"/>
        <v>1</v>
      </c>
    </row>
    <row r="235" spans="1:16" x14ac:dyDescent="0.2">
      <c r="A235">
        <f>Datos_Ventas!A235</f>
        <v>248</v>
      </c>
      <c r="B235" s="13">
        <f>Datos_Ventas!B235</f>
        <v>46185</v>
      </c>
      <c r="C235" t="str">
        <f t="shared" si="12"/>
        <v>06 Jun</v>
      </c>
      <c r="D235" t="str">
        <f t="shared" si="13"/>
        <v>T2</v>
      </c>
      <c r="E235" t="str">
        <f>INDEX(Productos!$B$2:$B$11,MATCH(Datos_Ventas!D235,Productos!$A$2:$A$11,0))</f>
        <v>Galletas Perro</v>
      </c>
      <c r="F235" t="str">
        <f>INDEX(Productos!$C$2:$C$11,MATCH(Datos_Ventas!D235,Productos!$A$2:$A$11,0))</f>
        <v>Snacks</v>
      </c>
      <c r="G235" t="str">
        <f>INDEX(Clientes!$B$2:$B$11,MATCH(Datos_Ventas!C235,Clientes!$A$2:$A$11,0))</f>
        <v>Autoservicio Norte</v>
      </c>
      <c r="H235" t="str">
        <f>INDEX(Clientes!$C$2:$C$11,MATCH(Datos_Ventas!C235,Clientes!$A$2:$A$11,0))</f>
        <v>Retail</v>
      </c>
      <c r="I235" t="str">
        <f>INDEX(Clientes!$D$2:$D$11,MATCH(Datos_Ventas!C235,Clientes!$A$2:$A$11,0))</f>
        <v>Las Heras</v>
      </c>
      <c r="J235">
        <f>Datos_Ventas!E235</f>
        <v>30</v>
      </c>
      <c r="K235" s="29">
        <f>Datos_Ventas!F235</f>
        <v>2740</v>
      </c>
      <c r="L235" s="29">
        <f>Datos_Ventas!G235</f>
        <v>82200</v>
      </c>
      <c r="M235" s="29">
        <f>J235*INDEX(Productos!$D$2:$D$11,MATCH(Datos_Ventas!D235,Productos!$A$2:$A$11,0))</f>
        <v>45000</v>
      </c>
      <c r="N235" s="29">
        <f t="shared" si="14"/>
        <v>37200</v>
      </c>
      <c r="O235" s="30">
        <f>K235/INDEX(Productos!$E$2:$E$11,MATCH(Datos_Ventas!D235,Productos!$A$2:$A$11,0))-1</f>
        <v>1.4814814814814836E-2</v>
      </c>
      <c r="P235">
        <f t="shared" si="15"/>
        <v>1</v>
      </c>
    </row>
    <row r="236" spans="1:16" x14ac:dyDescent="0.2">
      <c r="A236">
        <f>Datos_Ventas!A236</f>
        <v>249</v>
      </c>
      <c r="B236" s="13">
        <f>Datos_Ventas!B236</f>
        <v>46187</v>
      </c>
      <c r="C236" t="str">
        <f t="shared" si="12"/>
        <v>06 Jun</v>
      </c>
      <c r="D236" t="str">
        <f t="shared" si="13"/>
        <v>T2</v>
      </c>
      <c r="E236" t="str">
        <f>INDEX(Productos!$B$2:$B$11,MATCH(Datos_Ventas!D236,Productos!$A$2:$A$11,0))</f>
        <v>Alimento Balanceado 15kg</v>
      </c>
      <c r="F236" t="str">
        <f>INDEX(Productos!$C$2:$C$11,MATCH(Datos_Ventas!D236,Productos!$A$2:$A$11,0))</f>
        <v>Alimentos</v>
      </c>
      <c r="G236" t="str">
        <f>INDEX(Clientes!$B$2:$B$11,MATCH(Datos_Ventas!C236,Clientes!$A$2:$A$11,0))</f>
        <v>Mayorista del Sol</v>
      </c>
      <c r="H236" t="str">
        <f>INDEX(Clientes!$C$2:$C$11,MATCH(Datos_Ventas!C236,Clientes!$A$2:$A$11,0))</f>
        <v>Mayorista</v>
      </c>
      <c r="I236" t="str">
        <f>INDEX(Clientes!$D$2:$D$11,MATCH(Datos_Ventas!C236,Clientes!$A$2:$A$11,0))</f>
        <v>San Martín</v>
      </c>
      <c r="J236">
        <f>Datos_Ventas!E236</f>
        <v>20</v>
      </c>
      <c r="K236" s="29">
        <f>Datos_Ventas!F236</f>
        <v>14800</v>
      </c>
      <c r="L236" s="29">
        <f>Datos_Ventas!G236</f>
        <v>296000</v>
      </c>
      <c r="M236" s="29">
        <f>J236*INDEX(Productos!$D$2:$D$11,MATCH(Datos_Ventas!D236,Productos!$A$2:$A$11,0))</f>
        <v>196000</v>
      </c>
      <c r="N236" s="29">
        <f t="shared" si="14"/>
        <v>100000</v>
      </c>
      <c r="O236" s="30">
        <f>K236/INDEX(Productos!$E$2:$E$11,MATCH(Datos_Ventas!D236,Productos!$A$2:$A$11,0))-1</f>
        <v>2.0689655172413834E-2</v>
      </c>
      <c r="P236">
        <f t="shared" si="15"/>
        <v>1</v>
      </c>
    </row>
    <row r="237" spans="1:16" x14ac:dyDescent="0.2">
      <c r="A237">
        <f>Datos_Ventas!A237</f>
        <v>250</v>
      </c>
      <c r="B237" s="13">
        <f>Datos_Ventas!B237</f>
        <v>46188</v>
      </c>
      <c r="C237" t="str">
        <f t="shared" si="12"/>
        <v>06 Jun</v>
      </c>
      <c r="D237" t="str">
        <f t="shared" si="13"/>
        <v>T2</v>
      </c>
      <c r="E237" t="str">
        <f>INDEX(Productos!$B$2:$B$11,MATCH(Datos_Ventas!D237,Productos!$A$2:$A$11,0))</f>
        <v>Snack Dental</v>
      </c>
      <c r="F237" t="str">
        <f>INDEX(Productos!$C$2:$C$11,MATCH(Datos_Ventas!D237,Productos!$A$2:$A$11,0))</f>
        <v>Snacks</v>
      </c>
      <c r="G237" t="str">
        <f>INDEX(Clientes!$B$2:$B$11,MATCH(Datos_Ventas!C237,Clientes!$A$2:$A$11,0))</f>
        <v>Mayorista del Sol</v>
      </c>
      <c r="H237" t="str">
        <f>INDEX(Clientes!$C$2:$C$11,MATCH(Datos_Ventas!C237,Clientes!$A$2:$A$11,0))</f>
        <v>Mayorista</v>
      </c>
      <c r="I237" t="str">
        <f>INDEX(Clientes!$D$2:$D$11,MATCH(Datos_Ventas!C237,Clientes!$A$2:$A$11,0))</f>
        <v>San Martín</v>
      </c>
      <c r="J237">
        <f>Datos_Ventas!E237</f>
        <v>30</v>
      </c>
      <c r="K237" s="29">
        <f>Datos_Ventas!F237</f>
        <v>3400</v>
      </c>
      <c r="L237" s="29">
        <f>Datos_Ventas!G237</f>
        <v>102000</v>
      </c>
      <c r="M237" s="29">
        <f>J237*INDEX(Productos!$D$2:$D$11,MATCH(Datos_Ventas!D237,Productos!$A$2:$A$11,0))</f>
        <v>54000</v>
      </c>
      <c r="N237" s="29">
        <f t="shared" si="14"/>
        <v>48000</v>
      </c>
      <c r="O237" s="30">
        <f>K237/INDEX(Productos!$E$2:$E$11,MATCH(Datos_Ventas!D237,Productos!$A$2:$A$11,0))-1</f>
        <v>6.25E-2</v>
      </c>
      <c r="P237">
        <f t="shared" si="15"/>
        <v>1</v>
      </c>
    </row>
    <row r="238" spans="1:16" x14ac:dyDescent="0.2">
      <c r="A238">
        <f>Datos_Ventas!A238</f>
        <v>251</v>
      </c>
      <c r="B238" s="13">
        <f>Datos_Ventas!B238</f>
        <v>46188</v>
      </c>
      <c r="C238" t="str">
        <f t="shared" si="12"/>
        <v>06 Jun</v>
      </c>
      <c r="D238" t="str">
        <f t="shared" si="13"/>
        <v>T2</v>
      </c>
      <c r="E238" t="str">
        <f>INDEX(Productos!$B$2:$B$11,MATCH(Datos_Ventas!D238,Productos!$A$2:$A$11,0))</f>
        <v>Correa Reforzada</v>
      </c>
      <c r="F238" t="str">
        <f>INDEX(Productos!$C$2:$C$11,MATCH(Datos_Ventas!D238,Productos!$A$2:$A$11,0))</f>
        <v>Accesorios</v>
      </c>
      <c r="G238" t="str">
        <f>INDEX(Clientes!$B$2:$B$11,MATCH(Datos_Ventas!C238,Clientes!$A$2:$A$11,0))</f>
        <v>Pet Shop Mascotas</v>
      </c>
      <c r="H238" t="str">
        <f>INDEX(Clientes!$C$2:$C$11,MATCH(Datos_Ventas!C238,Clientes!$A$2:$A$11,0))</f>
        <v>Especializado</v>
      </c>
      <c r="I238" t="str">
        <f>INDEX(Clientes!$D$2:$D$11,MATCH(Datos_Ventas!C238,Clientes!$A$2:$A$11,0))</f>
        <v>Mendoza</v>
      </c>
      <c r="J238">
        <f>Datos_Ventas!E238</f>
        <v>30</v>
      </c>
      <c r="K238" s="29">
        <f>Datos_Ventas!F238</f>
        <v>5100</v>
      </c>
      <c r="L238" s="29">
        <f>Datos_Ventas!G238</f>
        <v>153000</v>
      </c>
      <c r="M238" s="29">
        <f>J238*INDEX(Productos!$D$2:$D$11,MATCH(Datos_Ventas!D238,Productos!$A$2:$A$11,0))</f>
        <v>84000</v>
      </c>
      <c r="N238" s="29">
        <f t="shared" si="14"/>
        <v>69000</v>
      </c>
      <c r="O238" s="30">
        <f>K238/INDEX(Productos!$E$2:$E$11,MATCH(Datos_Ventas!D238,Productos!$A$2:$A$11,0))-1</f>
        <v>-1.9230769230769273E-2</v>
      </c>
      <c r="P238">
        <f t="shared" si="15"/>
        <v>1</v>
      </c>
    </row>
    <row r="239" spans="1:16" x14ac:dyDescent="0.2">
      <c r="A239">
        <f>Datos_Ventas!A239</f>
        <v>252</v>
      </c>
      <c r="B239" s="13">
        <f>Datos_Ventas!B239</f>
        <v>46188</v>
      </c>
      <c r="C239" t="str">
        <f t="shared" si="12"/>
        <v>06 Jun</v>
      </c>
      <c r="D239" t="str">
        <f t="shared" si="13"/>
        <v>T2</v>
      </c>
      <c r="E239" t="str">
        <f>INDEX(Productos!$B$2:$B$11,MATCH(Datos_Ventas!D239,Productos!$A$2:$A$11,0))</f>
        <v>Aceite Omega</v>
      </c>
      <c r="F239" t="str">
        <f>INDEX(Productos!$C$2:$C$11,MATCH(Datos_Ventas!D239,Productos!$A$2:$A$11,0))</f>
        <v>Suplementos</v>
      </c>
      <c r="G239" t="str">
        <f>INDEX(Clientes!$B$2:$B$11,MATCH(Datos_Ventas!C239,Clientes!$A$2:$A$11,0))</f>
        <v>Distribuidora Andes</v>
      </c>
      <c r="H239" t="str">
        <f>INDEX(Clientes!$C$2:$C$11,MATCH(Datos_Ventas!C239,Clientes!$A$2:$A$11,0))</f>
        <v>Mayorista</v>
      </c>
      <c r="I239" t="str">
        <f>INDEX(Clientes!$D$2:$D$11,MATCH(Datos_Ventas!C239,Clientes!$A$2:$A$11,0))</f>
        <v>Mendoza</v>
      </c>
      <c r="J239">
        <f>Datos_Ventas!E239</f>
        <v>21</v>
      </c>
      <c r="K239" s="29">
        <f>Datos_Ventas!F239</f>
        <v>5150</v>
      </c>
      <c r="L239" s="29">
        <f>Datos_Ventas!G239</f>
        <v>108150</v>
      </c>
      <c r="M239" s="29">
        <f>J239*INDEX(Productos!$D$2:$D$11,MATCH(Datos_Ventas!D239,Productos!$A$2:$A$11,0))</f>
        <v>65100</v>
      </c>
      <c r="N239" s="29">
        <f t="shared" si="14"/>
        <v>43050</v>
      </c>
      <c r="O239" s="30">
        <f>K239/INDEX(Productos!$E$2:$E$11,MATCH(Datos_Ventas!D239,Productos!$A$2:$A$11,0))-1</f>
        <v>-8.0357142857142905E-2</v>
      </c>
      <c r="P239">
        <f t="shared" si="15"/>
        <v>1</v>
      </c>
    </row>
    <row r="240" spans="1:16" x14ac:dyDescent="0.2">
      <c r="A240">
        <f>Datos_Ventas!A240</f>
        <v>254</v>
      </c>
      <c r="B240" s="13">
        <f>Datos_Ventas!B240</f>
        <v>46189</v>
      </c>
      <c r="C240" t="str">
        <f t="shared" si="12"/>
        <v>06 Jun</v>
      </c>
      <c r="D240" t="str">
        <f t="shared" si="13"/>
        <v>T2</v>
      </c>
      <c r="E240" t="str">
        <f>INDEX(Productos!$B$2:$B$11,MATCH(Datos_Ventas!D240,Productos!$A$2:$A$11,0))</f>
        <v>Correa Reforzada</v>
      </c>
      <c r="F240" t="str">
        <f>INDEX(Productos!$C$2:$C$11,MATCH(Datos_Ventas!D240,Productos!$A$2:$A$11,0))</f>
        <v>Accesorios</v>
      </c>
      <c r="G240" t="str">
        <f>INDEX(Clientes!$B$2:$B$11,MATCH(Datos_Ventas!C240,Clientes!$A$2:$A$11,0))</f>
        <v>Kiosco La Esquina</v>
      </c>
      <c r="H240" t="str">
        <f>INDEX(Clientes!$C$2:$C$11,MATCH(Datos_Ventas!C240,Clientes!$A$2:$A$11,0))</f>
        <v>Minorista</v>
      </c>
      <c r="I240" t="str">
        <f>INDEX(Clientes!$D$2:$D$11,MATCH(Datos_Ventas!C240,Clientes!$A$2:$A$11,0))</f>
        <v>Godoy Cruz</v>
      </c>
      <c r="J240">
        <f>Datos_Ventas!E240</f>
        <v>10</v>
      </c>
      <c r="K240" s="29">
        <f>Datos_Ventas!F240</f>
        <v>5080</v>
      </c>
      <c r="L240" s="29">
        <f>Datos_Ventas!G240</f>
        <v>50800</v>
      </c>
      <c r="M240" s="29">
        <f>J240*INDEX(Productos!$D$2:$D$11,MATCH(Datos_Ventas!D240,Productos!$A$2:$A$11,0))</f>
        <v>28000</v>
      </c>
      <c r="N240" s="29">
        <f t="shared" si="14"/>
        <v>22800</v>
      </c>
      <c r="O240" s="30">
        <f>K240/INDEX(Productos!$E$2:$E$11,MATCH(Datos_Ventas!D240,Productos!$A$2:$A$11,0))-1</f>
        <v>-2.3076923076923106E-2</v>
      </c>
      <c r="P240">
        <f t="shared" si="15"/>
        <v>1</v>
      </c>
    </row>
    <row r="241" spans="1:16" x14ac:dyDescent="0.2">
      <c r="A241">
        <f>Datos_Ventas!A241</f>
        <v>255</v>
      </c>
      <c r="B241" s="13">
        <f>Datos_Ventas!B241</f>
        <v>46191</v>
      </c>
      <c r="C241" t="str">
        <f t="shared" si="12"/>
        <v>06 Jun</v>
      </c>
      <c r="D241" t="str">
        <f t="shared" si="13"/>
        <v>T2</v>
      </c>
      <c r="E241" t="str">
        <f>INDEX(Productos!$B$2:$B$11,MATCH(Datos_Ventas!D241,Productos!$A$2:$A$11,0))</f>
        <v>Arena Sanitaria</v>
      </c>
      <c r="F241" t="str">
        <f>INDEX(Productos!$C$2:$C$11,MATCH(Datos_Ventas!D241,Productos!$A$2:$A$11,0))</f>
        <v>Higiene</v>
      </c>
      <c r="G241" t="str">
        <f>INDEX(Clientes!$B$2:$B$11,MATCH(Datos_Ventas!C241,Clientes!$A$2:$A$11,0))</f>
        <v>Kiosco La Esquina</v>
      </c>
      <c r="H241" t="str">
        <f>INDEX(Clientes!$C$2:$C$11,MATCH(Datos_Ventas!C241,Clientes!$A$2:$A$11,0))</f>
        <v>Minorista</v>
      </c>
      <c r="I241" t="str">
        <f>INDEX(Clientes!$D$2:$D$11,MATCH(Datos_Ventas!C241,Clientes!$A$2:$A$11,0))</f>
        <v>Godoy Cruz</v>
      </c>
      <c r="J241">
        <f>Datos_Ventas!E241</f>
        <v>5</v>
      </c>
      <c r="K241" s="29">
        <f>Datos_Ventas!F241</f>
        <v>4250</v>
      </c>
      <c r="L241" s="29">
        <f>Datos_Ventas!G241</f>
        <v>21250</v>
      </c>
      <c r="M241" s="29">
        <f>J241*INDEX(Productos!$D$2:$D$11,MATCH(Datos_Ventas!D241,Productos!$A$2:$A$11,0))</f>
        <v>13000</v>
      </c>
      <c r="N241" s="29">
        <f t="shared" si="14"/>
        <v>8250</v>
      </c>
      <c r="O241" s="30">
        <f>K241/INDEX(Productos!$E$2:$E$11,MATCH(Datos_Ventas!D241,Productos!$A$2:$A$11,0))-1</f>
        <v>-3.4090909090909061E-2</v>
      </c>
      <c r="P241">
        <f t="shared" si="15"/>
        <v>1</v>
      </c>
    </row>
    <row r="242" spans="1:16" x14ac:dyDescent="0.2">
      <c r="A242">
        <f>Datos_Ventas!A242</f>
        <v>256</v>
      </c>
      <c r="B242" s="13">
        <f>Datos_Ventas!B242</f>
        <v>46192</v>
      </c>
      <c r="C242" t="str">
        <f t="shared" si="12"/>
        <v>06 Jun</v>
      </c>
      <c r="D242" t="str">
        <f t="shared" si="13"/>
        <v>T2</v>
      </c>
      <c r="E242" t="str">
        <f>INDEX(Productos!$B$2:$B$11,MATCH(Datos_Ventas!D242,Productos!$A$2:$A$11,0))</f>
        <v>Aceite Omega</v>
      </c>
      <c r="F242" t="str">
        <f>INDEX(Productos!$C$2:$C$11,MATCH(Datos_Ventas!D242,Productos!$A$2:$A$11,0))</f>
        <v>Suplementos</v>
      </c>
      <c r="G242" t="str">
        <f>INDEX(Clientes!$B$2:$B$11,MATCH(Datos_Ventas!C242,Clientes!$A$2:$A$11,0))</f>
        <v>Hiper Centro</v>
      </c>
      <c r="H242" t="str">
        <f>INDEX(Clientes!$C$2:$C$11,MATCH(Datos_Ventas!C242,Clientes!$A$2:$A$11,0))</f>
        <v>Retail</v>
      </c>
      <c r="I242" t="str">
        <f>INDEX(Clientes!$D$2:$D$11,MATCH(Datos_Ventas!C242,Clientes!$A$2:$A$11,0))</f>
        <v>Luján de Cuyo</v>
      </c>
      <c r="J242">
        <f>Datos_Ventas!E242</f>
        <v>38</v>
      </c>
      <c r="K242" s="29">
        <f>Datos_Ventas!F242</f>
        <v>5150</v>
      </c>
      <c r="L242" s="29">
        <f>Datos_Ventas!G242</f>
        <v>195700</v>
      </c>
      <c r="M242" s="29">
        <f>J242*INDEX(Productos!$D$2:$D$11,MATCH(Datos_Ventas!D242,Productos!$A$2:$A$11,0))</f>
        <v>117800</v>
      </c>
      <c r="N242" s="29">
        <f t="shared" si="14"/>
        <v>77900</v>
      </c>
      <c r="O242" s="30">
        <f>K242/INDEX(Productos!$E$2:$E$11,MATCH(Datos_Ventas!D242,Productos!$A$2:$A$11,0))-1</f>
        <v>-8.0357142857142905E-2</v>
      </c>
      <c r="P242">
        <f t="shared" si="15"/>
        <v>1</v>
      </c>
    </row>
    <row r="243" spans="1:16" x14ac:dyDescent="0.2">
      <c r="A243">
        <f>Datos_Ventas!A243</f>
        <v>259</v>
      </c>
      <c r="B243" s="13">
        <f>Datos_Ventas!B243</f>
        <v>46192</v>
      </c>
      <c r="C243" t="str">
        <f t="shared" si="12"/>
        <v>06 Jun</v>
      </c>
      <c r="D243" t="str">
        <f t="shared" si="13"/>
        <v>T2</v>
      </c>
      <c r="E243" t="str">
        <f>INDEX(Productos!$B$2:$B$11,MATCH(Datos_Ventas!D243,Productos!$A$2:$A$11,0))</f>
        <v>Alimento Balanceado 15kg</v>
      </c>
      <c r="F243" t="str">
        <f>INDEX(Productos!$C$2:$C$11,MATCH(Datos_Ventas!D243,Productos!$A$2:$A$11,0))</f>
        <v>Alimentos</v>
      </c>
      <c r="G243" t="str">
        <f>INDEX(Clientes!$B$2:$B$11,MATCH(Datos_Ventas!C243,Clientes!$A$2:$A$11,0))</f>
        <v>Kiosco La Esquina</v>
      </c>
      <c r="H243" t="str">
        <f>INDEX(Clientes!$C$2:$C$11,MATCH(Datos_Ventas!C243,Clientes!$A$2:$A$11,0))</f>
        <v>Minorista</v>
      </c>
      <c r="I243" t="str">
        <f>INDEX(Clientes!$D$2:$D$11,MATCH(Datos_Ventas!C243,Clientes!$A$2:$A$11,0))</f>
        <v>Godoy Cruz</v>
      </c>
      <c r="J243">
        <f>Datos_Ventas!E243</f>
        <v>32</v>
      </c>
      <c r="K243" s="29">
        <f>Datos_Ventas!F243</f>
        <v>13650</v>
      </c>
      <c r="L243" s="29">
        <f>Datos_Ventas!G243</f>
        <v>436800</v>
      </c>
      <c r="M243" s="29">
        <f>J243*INDEX(Productos!$D$2:$D$11,MATCH(Datos_Ventas!D243,Productos!$A$2:$A$11,0))</f>
        <v>313600</v>
      </c>
      <c r="N243" s="29">
        <f t="shared" si="14"/>
        <v>123200</v>
      </c>
      <c r="O243" s="30">
        <f>K243/INDEX(Productos!$E$2:$E$11,MATCH(Datos_Ventas!D243,Productos!$A$2:$A$11,0))-1</f>
        <v>-5.862068965517242E-2</v>
      </c>
      <c r="P243">
        <f t="shared" si="15"/>
        <v>1</v>
      </c>
    </row>
    <row r="244" spans="1:16" x14ac:dyDescent="0.2">
      <c r="A244">
        <f>Datos_Ventas!A244</f>
        <v>260</v>
      </c>
      <c r="B244" s="13">
        <f>Datos_Ventas!B244</f>
        <v>46192</v>
      </c>
      <c r="C244" t="str">
        <f t="shared" si="12"/>
        <v>06 Jun</v>
      </c>
      <c r="D244" t="str">
        <f t="shared" si="13"/>
        <v>T2</v>
      </c>
      <c r="E244" t="str">
        <f>INDEX(Productos!$B$2:$B$11,MATCH(Datos_Ventas!D244,Productos!$A$2:$A$11,0))</f>
        <v>Galletas Perro</v>
      </c>
      <c r="F244" t="str">
        <f>INDEX(Productos!$C$2:$C$11,MATCH(Datos_Ventas!D244,Productos!$A$2:$A$11,0))</f>
        <v>Snacks</v>
      </c>
      <c r="G244" t="str">
        <f>INDEX(Clientes!$B$2:$B$11,MATCH(Datos_Ventas!C244,Clientes!$A$2:$A$11,0))</f>
        <v>Mayorista del Sol</v>
      </c>
      <c r="H244" t="str">
        <f>INDEX(Clientes!$C$2:$C$11,MATCH(Datos_Ventas!C244,Clientes!$A$2:$A$11,0))</f>
        <v>Mayorista</v>
      </c>
      <c r="I244" t="str">
        <f>INDEX(Clientes!$D$2:$D$11,MATCH(Datos_Ventas!C244,Clientes!$A$2:$A$11,0))</f>
        <v>San Martín</v>
      </c>
      <c r="J244">
        <f>Datos_Ventas!E244</f>
        <v>24</v>
      </c>
      <c r="K244" s="29">
        <f>Datos_Ventas!F244</f>
        <v>2680</v>
      </c>
      <c r="L244" s="29">
        <f>Datos_Ventas!G244</f>
        <v>64320</v>
      </c>
      <c r="M244" s="29">
        <f>J244*INDEX(Productos!$D$2:$D$11,MATCH(Datos_Ventas!D244,Productos!$A$2:$A$11,0))</f>
        <v>36000</v>
      </c>
      <c r="N244" s="29">
        <f t="shared" si="14"/>
        <v>28320</v>
      </c>
      <c r="O244" s="30">
        <f>K244/INDEX(Productos!$E$2:$E$11,MATCH(Datos_Ventas!D244,Productos!$A$2:$A$11,0))-1</f>
        <v>-7.4074074074074181E-3</v>
      </c>
      <c r="P244">
        <f t="shared" si="15"/>
        <v>1</v>
      </c>
    </row>
    <row r="245" spans="1:16" x14ac:dyDescent="0.2">
      <c r="A245">
        <f>Datos_Ventas!A245</f>
        <v>261</v>
      </c>
      <c r="B245" s="13">
        <f>Datos_Ventas!B245</f>
        <v>46193</v>
      </c>
      <c r="C245" t="str">
        <f t="shared" si="12"/>
        <v>06 Jun</v>
      </c>
      <c r="D245" t="str">
        <f t="shared" si="13"/>
        <v>T2</v>
      </c>
      <c r="E245" t="str">
        <f>INDEX(Productos!$B$2:$B$11,MATCH(Datos_Ventas!D245,Productos!$A$2:$A$11,0))</f>
        <v>Arena Sanitaria</v>
      </c>
      <c r="F245" t="str">
        <f>INDEX(Productos!$C$2:$C$11,MATCH(Datos_Ventas!D245,Productos!$A$2:$A$11,0))</f>
        <v>Higiene</v>
      </c>
      <c r="G245" t="str">
        <f>INDEX(Clientes!$B$2:$B$11,MATCH(Datos_Ventas!C245,Clientes!$A$2:$A$11,0))</f>
        <v>Distribuidora Andes</v>
      </c>
      <c r="H245" t="str">
        <f>INDEX(Clientes!$C$2:$C$11,MATCH(Datos_Ventas!C245,Clientes!$A$2:$A$11,0))</f>
        <v>Mayorista</v>
      </c>
      <c r="I245" t="str">
        <f>INDEX(Clientes!$D$2:$D$11,MATCH(Datos_Ventas!C245,Clientes!$A$2:$A$11,0))</f>
        <v>Mendoza</v>
      </c>
      <c r="J245">
        <f>Datos_Ventas!E245</f>
        <v>9</v>
      </c>
      <c r="K245" s="29">
        <f>Datos_Ventas!F245</f>
        <v>4410</v>
      </c>
      <c r="L245" s="29">
        <f>Datos_Ventas!G245</f>
        <v>39690</v>
      </c>
      <c r="M245" s="29">
        <f>J245*INDEX(Productos!$D$2:$D$11,MATCH(Datos_Ventas!D245,Productos!$A$2:$A$11,0))</f>
        <v>23400</v>
      </c>
      <c r="N245" s="29">
        <f t="shared" si="14"/>
        <v>16290</v>
      </c>
      <c r="O245" s="30">
        <f>K245/INDEX(Productos!$E$2:$E$11,MATCH(Datos_Ventas!D245,Productos!$A$2:$A$11,0))-1</f>
        <v>2.2727272727272041E-3</v>
      </c>
      <c r="P245">
        <f t="shared" si="15"/>
        <v>1</v>
      </c>
    </row>
    <row r="246" spans="1:16" x14ac:dyDescent="0.2">
      <c r="A246">
        <f>Datos_Ventas!A246</f>
        <v>262</v>
      </c>
      <c r="B246" s="13">
        <f>Datos_Ventas!B246</f>
        <v>46193</v>
      </c>
      <c r="C246" t="str">
        <f t="shared" si="12"/>
        <v>06 Jun</v>
      </c>
      <c r="D246" t="str">
        <f t="shared" si="13"/>
        <v>T2</v>
      </c>
      <c r="E246" t="str">
        <f>INDEX(Productos!$B$2:$B$11,MATCH(Datos_Ventas!D246,Productos!$A$2:$A$11,0))</f>
        <v>Juguete Pelota</v>
      </c>
      <c r="F246" t="str">
        <f>INDEX(Productos!$C$2:$C$11,MATCH(Datos_Ventas!D246,Productos!$A$2:$A$11,0))</f>
        <v>Accesorios</v>
      </c>
      <c r="G246" t="str">
        <f>INDEX(Clientes!$B$2:$B$11,MATCH(Datos_Ventas!C246,Clientes!$A$2:$A$11,0))</f>
        <v>Pet Shop Mascotas</v>
      </c>
      <c r="H246" t="str">
        <f>INDEX(Clientes!$C$2:$C$11,MATCH(Datos_Ventas!C246,Clientes!$A$2:$A$11,0))</f>
        <v>Especializado</v>
      </c>
      <c r="I246" t="str">
        <f>INDEX(Clientes!$D$2:$D$11,MATCH(Datos_Ventas!C246,Clientes!$A$2:$A$11,0))</f>
        <v>Mendoza</v>
      </c>
      <c r="J246">
        <f>Datos_Ventas!E246</f>
        <v>37</v>
      </c>
      <c r="K246" s="29">
        <f>Datos_Ventas!F246</f>
        <v>1900</v>
      </c>
      <c r="L246" s="29">
        <f>Datos_Ventas!G246</f>
        <v>70300</v>
      </c>
      <c r="M246" s="29">
        <f>J246*INDEX(Productos!$D$2:$D$11,MATCH(Datos_Ventas!D246,Productos!$A$2:$A$11,0))</f>
        <v>33300</v>
      </c>
      <c r="N246" s="29">
        <f t="shared" si="14"/>
        <v>37000</v>
      </c>
      <c r="O246" s="30">
        <f>K246/INDEX(Productos!$E$2:$E$11,MATCH(Datos_Ventas!D246,Productos!$A$2:$A$11,0))-1</f>
        <v>5.555555555555558E-2</v>
      </c>
      <c r="P246">
        <f t="shared" si="15"/>
        <v>1</v>
      </c>
    </row>
    <row r="247" spans="1:16" x14ac:dyDescent="0.2">
      <c r="A247">
        <f>Datos_Ventas!A247</f>
        <v>263</v>
      </c>
      <c r="B247" s="13">
        <f>Datos_Ventas!B247</f>
        <v>46194</v>
      </c>
      <c r="C247" t="str">
        <f t="shared" si="12"/>
        <v>06 Jun</v>
      </c>
      <c r="D247" t="str">
        <f t="shared" si="13"/>
        <v>T2</v>
      </c>
      <c r="E247" t="str">
        <f>INDEX(Productos!$B$2:$B$11,MATCH(Datos_Ventas!D247,Productos!$A$2:$A$11,0))</f>
        <v>Snack Dental</v>
      </c>
      <c r="F247" t="str">
        <f>INDEX(Productos!$C$2:$C$11,MATCH(Datos_Ventas!D247,Productos!$A$2:$A$11,0))</f>
        <v>Snacks</v>
      </c>
      <c r="G247" t="str">
        <f>INDEX(Clientes!$B$2:$B$11,MATCH(Datos_Ventas!C247,Clientes!$A$2:$A$11,0))</f>
        <v>Pet Shop Mascotas</v>
      </c>
      <c r="H247" t="str">
        <f>INDEX(Clientes!$C$2:$C$11,MATCH(Datos_Ventas!C247,Clientes!$A$2:$A$11,0))</f>
        <v>Especializado</v>
      </c>
      <c r="I247" t="str">
        <f>INDEX(Clientes!$D$2:$D$11,MATCH(Datos_Ventas!C247,Clientes!$A$2:$A$11,0))</f>
        <v>Mendoza</v>
      </c>
      <c r="J247">
        <f>Datos_Ventas!E247</f>
        <v>34</v>
      </c>
      <c r="K247" s="29">
        <f>Datos_Ventas!F247</f>
        <v>3440</v>
      </c>
      <c r="L247" s="29">
        <f>Datos_Ventas!G247</f>
        <v>116960</v>
      </c>
      <c r="M247" s="29">
        <f>J247*INDEX(Productos!$D$2:$D$11,MATCH(Datos_Ventas!D247,Productos!$A$2:$A$11,0))</f>
        <v>61200</v>
      </c>
      <c r="N247" s="29">
        <f t="shared" si="14"/>
        <v>55760</v>
      </c>
      <c r="O247" s="30">
        <f>K247/INDEX(Productos!$E$2:$E$11,MATCH(Datos_Ventas!D247,Productos!$A$2:$A$11,0))-1</f>
        <v>7.4999999999999956E-2</v>
      </c>
      <c r="P247">
        <f t="shared" si="15"/>
        <v>1</v>
      </c>
    </row>
    <row r="248" spans="1:16" x14ac:dyDescent="0.2">
      <c r="A248">
        <f>Datos_Ventas!A248</f>
        <v>264</v>
      </c>
      <c r="B248" s="13">
        <f>Datos_Ventas!B248</f>
        <v>46195</v>
      </c>
      <c r="C248" t="str">
        <f t="shared" si="12"/>
        <v>06 Jun</v>
      </c>
      <c r="D248" t="str">
        <f t="shared" si="13"/>
        <v>T2</v>
      </c>
      <c r="E248" t="str">
        <f>INDEX(Productos!$B$2:$B$11,MATCH(Datos_Ventas!D248,Productos!$A$2:$A$11,0))</f>
        <v>Collar Ajustable</v>
      </c>
      <c r="F248" t="str">
        <f>INDEX(Productos!$C$2:$C$11,MATCH(Datos_Ventas!D248,Productos!$A$2:$A$11,0))</f>
        <v>Accesorios</v>
      </c>
      <c r="G248" t="str">
        <f>INDEX(Clientes!$B$2:$B$11,MATCH(Datos_Ventas!C248,Clientes!$A$2:$A$11,0))</f>
        <v>Despensa Vero</v>
      </c>
      <c r="H248" t="str">
        <f>INDEX(Clientes!$C$2:$C$11,MATCH(Datos_Ventas!C248,Clientes!$A$2:$A$11,0))</f>
        <v>Minorista</v>
      </c>
      <c r="I248" t="str">
        <f>INDEX(Clientes!$D$2:$D$11,MATCH(Datos_Ventas!C248,Clientes!$A$2:$A$11,0))</f>
        <v>Mendoza</v>
      </c>
      <c r="J248">
        <f>Datos_Ventas!E248</f>
        <v>5</v>
      </c>
      <c r="K248" s="29">
        <f>Datos_Ventas!F248</f>
        <v>3350</v>
      </c>
      <c r="L248" s="29">
        <f>Datos_Ventas!G248</f>
        <v>16750</v>
      </c>
      <c r="M248" s="29">
        <f>J248*INDEX(Productos!$D$2:$D$11,MATCH(Datos_Ventas!D248,Productos!$A$2:$A$11,0))</f>
        <v>9500</v>
      </c>
      <c r="N248" s="29">
        <f t="shared" si="14"/>
        <v>7250</v>
      </c>
      <c r="O248" s="30">
        <f>K248/INDEX(Productos!$E$2:$E$11,MATCH(Datos_Ventas!D248,Productos!$A$2:$A$11,0))-1</f>
        <v>-6.944444444444442E-2</v>
      </c>
      <c r="P248">
        <f t="shared" si="15"/>
        <v>1</v>
      </c>
    </row>
    <row r="249" spans="1:16" x14ac:dyDescent="0.2">
      <c r="A249">
        <f>Datos_Ventas!A249</f>
        <v>265</v>
      </c>
      <c r="B249" s="13">
        <f>Datos_Ventas!B249</f>
        <v>46195</v>
      </c>
      <c r="C249" t="str">
        <f t="shared" si="12"/>
        <v>06 Jun</v>
      </c>
      <c r="D249" t="str">
        <f t="shared" si="13"/>
        <v>T2</v>
      </c>
      <c r="E249" t="str">
        <f>INDEX(Productos!$B$2:$B$11,MATCH(Datos_Ventas!D249,Productos!$A$2:$A$11,0))</f>
        <v>Shampoo Mascotas</v>
      </c>
      <c r="F249" t="str">
        <f>INDEX(Productos!$C$2:$C$11,MATCH(Datos_Ventas!D249,Productos!$A$2:$A$11,0))</f>
        <v>Higiene</v>
      </c>
      <c r="G249" t="str">
        <f>INDEX(Clientes!$B$2:$B$11,MATCH(Datos_Ventas!C249,Clientes!$A$2:$A$11,0))</f>
        <v>Veterinaria Sur</v>
      </c>
      <c r="H249" t="str">
        <f>INDEX(Clientes!$C$2:$C$11,MATCH(Datos_Ventas!C249,Clientes!$A$2:$A$11,0))</f>
        <v>Especializado</v>
      </c>
      <c r="I249" t="str">
        <f>INDEX(Clientes!$D$2:$D$11,MATCH(Datos_Ventas!C249,Clientes!$A$2:$A$11,0))</f>
        <v>Godoy Cruz</v>
      </c>
      <c r="J249">
        <f>Datos_Ventas!E249</f>
        <v>11</v>
      </c>
      <c r="K249" s="29">
        <f>Datos_Ventas!F249</f>
        <v>4110</v>
      </c>
      <c r="L249" s="29">
        <f>Datos_Ventas!G249</f>
        <v>45210</v>
      </c>
      <c r="M249" s="29">
        <f>J249*INDEX(Productos!$D$2:$D$11,MATCH(Datos_Ventas!D249,Productos!$A$2:$A$11,0))</f>
        <v>24200</v>
      </c>
      <c r="N249" s="29">
        <f t="shared" si="14"/>
        <v>21010</v>
      </c>
      <c r="O249" s="30">
        <f>K249/INDEX(Productos!$E$2:$E$11,MATCH(Datos_Ventas!D249,Productos!$A$2:$A$11,0))-1</f>
        <v>5.3846153846153877E-2</v>
      </c>
      <c r="P249">
        <f t="shared" si="15"/>
        <v>1</v>
      </c>
    </row>
    <row r="250" spans="1:16" x14ac:dyDescent="0.2">
      <c r="A250">
        <f>Datos_Ventas!A250</f>
        <v>266</v>
      </c>
      <c r="B250" s="13">
        <f>Datos_Ventas!B250</f>
        <v>46195</v>
      </c>
      <c r="C250" t="str">
        <f t="shared" si="12"/>
        <v>06 Jun</v>
      </c>
      <c r="D250" t="str">
        <f t="shared" si="13"/>
        <v>T2</v>
      </c>
      <c r="E250" t="str">
        <f>INDEX(Productos!$B$2:$B$11,MATCH(Datos_Ventas!D250,Productos!$A$2:$A$11,0))</f>
        <v>Galletas Perro</v>
      </c>
      <c r="F250" t="str">
        <f>INDEX(Productos!$C$2:$C$11,MATCH(Datos_Ventas!D250,Productos!$A$2:$A$11,0))</f>
        <v>Snacks</v>
      </c>
      <c r="G250" t="str">
        <f>INDEX(Clientes!$B$2:$B$11,MATCH(Datos_Ventas!C250,Clientes!$A$2:$A$11,0))</f>
        <v>Supermercado Cuyo</v>
      </c>
      <c r="H250" t="str">
        <f>INDEX(Clientes!$C$2:$C$11,MATCH(Datos_Ventas!C250,Clientes!$A$2:$A$11,0))</f>
        <v>Retail</v>
      </c>
      <c r="I250" t="str">
        <f>INDEX(Clientes!$D$2:$D$11,MATCH(Datos_Ventas!C250,Clientes!$A$2:$A$11,0))</f>
        <v>Guaymallén</v>
      </c>
      <c r="J250">
        <f>Datos_Ventas!E250</f>
        <v>29</v>
      </c>
      <c r="K250" s="29">
        <f>Datos_Ventas!F250</f>
        <v>2720</v>
      </c>
      <c r="L250" s="29">
        <f>Datos_Ventas!G250</f>
        <v>78880</v>
      </c>
      <c r="M250" s="29">
        <f>J250*INDEX(Productos!$D$2:$D$11,MATCH(Datos_Ventas!D250,Productos!$A$2:$A$11,0))</f>
        <v>43500</v>
      </c>
      <c r="N250" s="29">
        <f t="shared" si="14"/>
        <v>35380</v>
      </c>
      <c r="O250" s="30">
        <f>K250/INDEX(Productos!$E$2:$E$11,MATCH(Datos_Ventas!D250,Productos!$A$2:$A$11,0))-1</f>
        <v>7.4074074074073071E-3</v>
      </c>
      <c r="P250">
        <f t="shared" si="15"/>
        <v>1</v>
      </c>
    </row>
    <row r="251" spans="1:16" x14ac:dyDescent="0.2">
      <c r="A251">
        <f>Datos_Ventas!A251</f>
        <v>267</v>
      </c>
      <c r="B251" s="13">
        <f>Datos_Ventas!B251</f>
        <v>46196</v>
      </c>
      <c r="C251" t="str">
        <f t="shared" si="12"/>
        <v>06 Jun</v>
      </c>
      <c r="D251" t="str">
        <f t="shared" si="13"/>
        <v>T2</v>
      </c>
      <c r="E251" t="str">
        <f>INDEX(Productos!$B$2:$B$11,MATCH(Datos_Ventas!D251,Productos!$A$2:$A$11,0))</f>
        <v>Arena Sanitaria</v>
      </c>
      <c r="F251" t="str">
        <f>INDEX(Productos!$C$2:$C$11,MATCH(Datos_Ventas!D251,Productos!$A$2:$A$11,0))</f>
        <v>Higiene</v>
      </c>
      <c r="G251" t="str">
        <f>INDEX(Clientes!$B$2:$B$11,MATCH(Datos_Ventas!C251,Clientes!$A$2:$A$11,0))</f>
        <v>Kiosco La Esquina</v>
      </c>
      <c r="H251" t="str">
        <f>INDEX(Clientes!$C$2:$C$11,MATCH(Datos_Ventas!C251,Clientes!$A$2:$A$11,0))</f>
        <v>Minorista</v>
      </c>
      <c r="I251" t="str">
        <f>INDEX(Clientes!$D$2:$D$11,MATCH(Datos_Ventas!C251,Clientes!$A$2:$A$11,0))</f>
        <v>Godoy Cruz</v>
      </c>
      <c r="J251">
        <f>Datos_Ventas!E251</f>
        <v>23</v>
      </c>
      <c r="K251" s="29">
        <f>Datos_Ventas!F251</f>
        <v>4620</v>
      </c>
      <c r="L251" s="29">
        <f>Datos_Ventas!G251</f>
        <v>106260</v>
      </c>
      <c r="M251" s="29">
        <f>J251*INDEX(Productos!$D$2:$D$11,MATCH(Datos_Ventas!D251,Productos!$A$2:$A$11,0))</f>
        <v>59800</v>
      </c>
      <c r="N251" s="29">
        <f t="shared" si="14"/>
        <v>46460</v>
      </c>
      <c r="O251" s="30">
        <f>K251/INDEX(Productos!$E$2:$E$11,MATCH(Datos_Ventas!D251,Productos!$A$2:$A$11,0))-1</f>
        <v>5.0000000000000044E-2</v>
      </c>
      <c r="P251">
        <f t="shared" si="15"/>
        <v>1</v>
      </c>
    </row>
    <row r="252" spans="1:16" x14ac:dyDescent="0.2">
      <c r="A252">
        <f>Datos_Ventas!A252</f>
        <v>268</v>
      </c>
      <c r="B252" s="13">
        <f>Datos_Ventas!B252</f>
        <v>46197</v>
      </c>
      <c r="C252" t="str">
        <f t="shared" si="12"/>
        <v>06 Jun</v>
      </c>
      <c r="D252" t="str">
        <f t="shared" si="13"/>
        <v>T2</v>
      </c>
      <c r="E252" t="str">
        <f>INDEX(Productos!$B$2:$B$11,MATCH(Datos_Ventas!D252,Productos!$A$2:$A$11,0))</f>
        <v>Aceite Omega</v>
      </c>
      <c r="F252" t="str">
        <f>INDEX(Productos!$C$2:$C$11,MATCH(Datos_Ventas!D252,Productos!$A$2:$A$11,0))</f>
        <v>Suplementos</v>
      </c>
      <c r="G252" t="str">
        <f>INDEX(Clientes!$B$2:$B$11,MATCH(Datos_Ventas!C252,Clientes!$A$2:$A$11,0))</f>
        <v>Supermercado Cuyo</v>
      </c>
      <c r="H252" t="str">
        <f>INDEX(Clientes!$C$2:$C$11,MATCH(Datos_Ventas!C252,Clientes!$A$2:$A$11,0))</f>
        <v>Retail</v>
      </c>
      <c r="I252" t="str">
        <f>INDEX(Clientes!$D$2:$D$11,MATCH(Datos_Ventas!C252,Clientes!$A$2:$A$11,0))</f>
        <v>Guaymallén</v>
      </c>
      <c r="J252">
        <f>Datos_Ventas!E252</f>
        <v>1</v>
      </c>
      <c r="K252" s="29">
        <f>Datos_Ventas!F252</f>
        <v>5570</v>
      </c>
      <c r="L252" s="29">
        <f>Datos_Ventas!G252</f>
        <v>5570</v>
      </c>
      <c r="M252" s="29">
        <f>J252*INDEX(Productos!$D$2:$D$11,MATCH(Datos_Ventas!D252,Productos!$A$2:$A$11,0))</f>
        <v>3100</v>
      </c>
      <c r="N252" s="29">
        <f t="shared" si="14"/>
        <v>2470</v>
      </c>
      <c r="O252" s="30">
        <f>K252/INDEX(Productos!$E$2:$E$11,MATCH(Datos_Ventas!D252,Productos!$A$2:$A$11,0))-1</f>
        <v>-5.3571428571428381E-3</v>
      </c>
      <c r="P252">
        <f t="shared" si="15"/>
        <v>1</v>
      </c>
    </row>
    <row r="253" spans="1:16" x14ac:dyDescent="0.2">
      <c r="A253">
        <f>Datos_Ventas!A253</f>
        <v>269</v>
      </c>
      <c r="B253" s="13">
        <f>Datos_Ventas!B253</f>
        <v>46197</v>
      </c>
      <c r="C253" t="str">
        <f t="shared" si="12"/>
        <v>06 Jun</v>
      </c>
      <c r="D253" t="str">
        <f t="shared" si="13"/>
        <v>T2</v>
      </c>
      <c r="E253" t="str">
        <f>INDEX(Productos!$B$2:$B$11,MATCH(Datos_Ventas!D253,Productos!$A$2:$A$11,0))</f>
        <v>Aceite Omega</v>
      </c>
      <c r="F253" t="str">
        <f>INDEX(Productos!$C$2:$C$11,MATCH(Datos_Ventas!D253,Productos!$A$2:$A$11,0))</f>
        <v>Suplementos</v>
      </c>
      <c r="G253" t="str">
        <f>INDEX(Clientes!$B$2:$B$11,MATCH(Datos_Ventas!C253,Clientes!$A$2:$A$11,0))</f>
        <v>Kiosco La Esquina</v>
      </c>
      <c r="H253" t="str">
        <f>INDEX(Clientes!$C$2:$C$11,MATCH(Datos_Ventas!C253,Clientes!$A$2:$A$11,0))</f>
        <v>Minorista</v>
      </c>
      <c r="I253" t="str">
        <f>INDEX(Clientes!$D$2:$D$11,MATCH(Datos_Ventas!C253,Clientes!$A$2:$A$11,0))</f>
        <v>Godoy Cruz</v>
      </c>
      <c r="J253">
        <f>Datos_Ventas!E253</f>
        <v>3</v>
      </c>
      <c r="K253" s="29">
        <f>Datos_Ventas!F253</f>
        <v>5230</v>
      </c>
      <c r="L253" s="29">
        <f>Datos_Ventas!G253</f>
        <v>15690</v>
      </c>
      <c r="M253" s="29">
        <f>J253*INDEX(Productos!$D$2:$D$11,MATCH(Datos_Ventas!D253,Productos!$A$2:$A$11,0))</f>
        <v>9300</v>
      </c>
      <c r="N253" s="29">
        <f t="shared" si="14"/>
        <v>6390</v>
      </c>
      <c r="O253" s="30">
        <f>K253/INDEX(Productos!$E$2:$E$11,MATCH(Datos_Ventas!D253,Productos!$A$2:$A$11,0))-1</f>
        <v>-6.6071428571428559E-2</v>
      </c>
      <c r="P253">
        <f t="shared" si="15"/>
        <v>1</v>
      </c>
    </row>
    <row r="254" spans="1:16" x14ac:dyDescent="0.2">
      <c r="A254">
        <f>Datos_Ventas!A254</f>
        <v>270</v>
      </c>
      <c r="B254" s="13">
        <f>Datos_Ventas!B254</f>
        <v>46199</v>
      </c>
      <c r="C254" t="str">
        <f t="shared" si="12"/>
        <v>06 Jun</v>
      </c>
      <c r="D254" t="str">
        <f t="shared" si="13"/>
        <v>T2</v>
      </c>
      <c r="E254" t="str">
        <f>INDEX(Productos!$B$2:$B$11,MATCH(Datos_Ventas!D254,Productos!$A$2:$A$11,0))</f>
        <v>Snack Dental</v>
      </c>
      <c r="F254" t="str">
        <f>INDEX(Productos!$C$2:$C$11,MATCH(Datos_Ventas!D254,Productos!$A$2:$A$11,0))</f>
        <v>Snacks</v>
      </c>
      <c r="G254" t="str">
        <f>INDEX(Clientes!$B$2:$B$11,MATCH(Datos_Ventas!C254,Clientes!$A$2:$A$11,0))</f>
        <v>Distribuidora Andes</v>
      </c>
      <c r="H254" t="str">
        <f>INDEX(Clientes!$C$2:$C$11,MATCH(Datos_Ventas!C254,Clientes!$A$2:$A$11,0))</f>
        <v>Mayorista</v>
      </c>
      <c r="I254" t="str">
        <f>INDEX(Clientes!$D$2:$D$11,MATCH(Datos_Ventas!C254,Clientes!$A$2:$A$11,0))</f>
        <v>Mendoza</v>
      </c>
      <c r="J254">
        <f>Datos_Ventas!E254</f>
        <v>28</v>
      </c>
      <c r="K254" s="29">
        <f>Datos_Ventas!F254</f>
        <v>3080</v>
      </c>
      <c r="L254" s="29">
        <f>Datos_Ventas!G254</f>
        <v>86240</v>
      </c>
      <c r="M254" s="29">
        <f>J254*INDEX(Productos!$D$2:$D$11,MATCH(Datos_Ventas!D254,Productos!$A$2:$A$11,0))</f>
        <v>50400</v>
      </c>
      <c r="N254" s="29">
        <f t="shared" si="14"/>
        <v>35840</v>
      </c>
      <c r="O254" s="30">
        <f>K254/INDEX(Productos!$E$2:$E$11,MATCH(Datos_Ventas!D254,Productos!$A$2:$A$11,0))-1</f>
        <v>-3.7499999999999978E-2</v>
      </c>
      <c r="P254">
        <f t="shared" si="15"/>
        <v>1</v>
      </c>
    </row>
    <row r="255" spans="1:16" x14ac:dyDescent="0.2">
      <c r="A255">
        <f>Datos_Ventas!A255</f>
        <v>271</v>
      </c>
      <c r="B255" s="13">
        <f>Datos_Ventas!B255</f>
        <v>46200</v>
      </c>
      <c r="C255" t="str">
        <f t="shared" si="12"/>
        <v>06 Jun</v>
      </c>
      <c r="D255" t="str">
        <f t="shared" si="13"/>
        <v>T2</v>
      </c>
      <c r="E255" t="str">
        <f>INDEX(Productos!$B$2:$B$11,MATCH(Datos_Ventas!D255,Productos!$A$2:$A$11,0))</f>
        <v>Alimento Premium 10kg</v>
      </c>
      <c r="F255" t="str">
        <f>INDEX(Productos!$C$2:$C$11,MATCH(Datos_Ventas!D255,Productos!$A$2:$A$11,0))</f>
        <v>Alimentos</v>
      </c>
      <c r="G255" t="str">
        <f>INDEX(Clientes!$B$2:$B$11,MATCH(Datos_Ventas!C255,Clientes!$A$2:$A$11,0))</f>
        <v>Despensa Vero</v>
      </c>
      <c r="H255" t="str">
        <f>INDEX(Clientes!$C$2:$C$11,MATCH(Datos_Ventas!C255,Clientes!$A$2:$A$11,0))</f>
        <v>Minorista</v>
      </c>
      <c r="I255" t="str">
        <f>INDEX(Clientes!$D$2:$D$11,MATCH(Datos_Ventas!C255,Clientes!$A$2:$A$11,0))</f>
        <v>Mendoza</v>
      </c>
      <c r="J255">
        <f>Datos_Ventas!E255</f>
        <v>22</v>
      </c>
      <c r="K255" s="29">
        <f>Datos_Ventas!F255</f>
        <v>20020</v>
      </c>
      <c r="L255" s="29">
        <f>Datos_Ventas!G255</f>
        <v>440440</v>
      </c>
      <c r="M255" s="29">
        <f>J255*INDEX(Productos!$D$2:$D$11,MATCH(Datos_Ventas!D255,Productos!$A$2:$A$11,0))</f>
        <v>275000</v>
      </c>
      <c r="N255" s="29">
        <f t="shared" si="14"/>
        <v>165440</v>
      </c>
      <c r="O255" s="30">
        <f>K255/INDEX(Productos!$E$2:$E$11,MATCH(Datos_Ventas!D255,Productos!$A$2:$A$11,0))-1</f>
        <v>5.9259259259259345E-2</v>
      </c>
      <c r="P255">
        <f t="shared" si="15"/>
        <v>1</v>
      </c>
    </row>
    <row r="256" spans="1:16" x14ac:dyDescent="0.2">
      <c r="A256">
        <f>Datos_Ventas!A256</f>
        <v>272</v>
      </c>
      <c r="B256" s="13">
        <f>Datos_Ventas!B256</f>
        <v>46202</v>
      </c>
      <c r="C256" t="str">
        <f t="shared" si="12"/>
        <v>06 Jun</v>
      </c>
      <c r="D256" t="str">
        <f t="shared" si="13"/>
        <v>T2</v>
      </c>
      <c r="E256" t="str">
        <f>INDEX(Productos!$B$2:$B$11,MATCH(Datos_Ventas!D256,Productos!$A$2:$A$11,0))</f>
        <v>Arena Sanitaria</v>
      </c>
      <c r="F256" t="str">
        <f>INDEX(Productos!$C$2:$C$11,MATCH(Datos_Ventas!D256,Productos!$A$2:$A$11,0))</f>
        <v>Higiene</v>
      </c>
      <c r="G256" t="str">
        <f>INDEX(Clientes!$B$2:$B$11,MATCH(Datos_Ventas!C256,Clientes!$A$2:$A$11,0))</f>
        <v>Mayorista del Sol</v>
      </c>
      <c r="H256" t="str">
        <f>INDEX(Clientes!$C$2:$C$11,MATCH(Datos_Ventas!C256,Clientes!$A$2:$A$11,0))</f>
        <v>Mayorista</v>
      </c>
      <c r="I256" t="str">
        <f>INDEX(Clientes!$D$2:$D$11,MATCH(Datos_Ventas!C256,Clientes!$A$2:$A$11,0))</f>
        <v>San Martín</v>
      </c>
      <c r="J256">
        <f>Datos_Ventas!E256</f>
        <v>27</v>
      </c>
      <c r="K256" s="29">
        <f>Datos_Ventas!F256</f>
        <v>4160</v>
      </c>
      <c r="L256" s="29">
        <f>Datos_Ventas!G256</f>
        <v>112320</v>
      </c>
      <c r="M256" s="29">
        <f>J256*INDEX(Productos!$D$2:$D$11,MATCH(Datos_Ventas!D256,Productos!$A$2:$A$11,0))</f>
        <v>70200</v>
      </c>
      <c r="N256" s="29">
        <f t="shared" si="14"/>
        <v>42120</v>
      </c>
      <c r="O256" s="30">
        <f>K256/INDEX(Productos!$E$2:$E$11,MATCH(Datos_Ventas!D256,Productos!$A$2:$A$11,0))-1</f>
        <v>-5.4545454545454564E-2</v>
      </c>
      <c r="P256">
        <f t="shared" si="15"/>
        <v>1</v>
      </c>
    </row>
    <row r="257" spans="1:16" x14ac:dyDescent="0.2">
      <c r="A257">
        <f>Datos_Ventas!A257</f>
        <v>273</v>
      </c>
      <c r="B257" s="13">
        <f>Datos_Ventas!B257</f>
        <v>46203</v>
      </c>
      <c r="C257" t="str">
        <f t="shared" si="12"/>
        <v>06 Jun</v>
      </c>
      <c r="D257" t="str">
        <f t="shared" si="13"/>
        <v>T2</v>
      </c>
      <c r="E257" t="str">
        <f>INDEX(Productos!$B$2:$B$11,MATCH(Datos_Ventas!D257,Productos!$A$2:$A$11,0))</f>
        <v>Alimento Premium 10kg</v>
      </c>
      <c r="F257" t="str">
        <f>INDEX(Productos!$C$2:$C$11,MATCH(Datos_Ventas!D257,Productos!$A$2:$A$11,0))</f>
        <v>Alimentos</v>
      </c>
      <c r="G257" t="str">
        <f>INDEX(Clientes!$B$2:$B$11,MATCH(Datos_Ventas!C257,Clientes!$A$2:$A$11,0))</f>
        <v>Hiper Centro</v>
      </c>
      <c r="H257" t="str">
        <f>INDEX(Clientes!$C$2:$C$11,MATCH(Datos_Ventas!C257,Clientes!$A$2:$A$11,0))</f>
        <v>Retail</v>
      </c>
      <c r="I257" t="str">
        <f>INDEX(Clientes!$D$2:$D$11,MATCH(Datos_Ventas!C257,Clientes!$A$2:$A$11,0))</f>
        <v>Luján de Cuyo</v>
      </c>
      <c r="J257">
        <f>Datos_Ventas!E257</f>
        <v>40</v>
      </c>
      <c r="K257" s="29">
        <f>Datos_Ventas!F257</f>
        <v>18120</v>
      </c>
      <c r="L257" s="29">
        <f>Datos_Ventas!G257</f>
        <v>724800</v>
      </c>
      <c r="M257" s="29">
        <f>J257*INDEX(Productos!$D$2:$D$11,MATCH(Datos_Ventas!D257,Productos!$A$2:$A$11,0))</f>
        <v>500000</v>
      </c>
      <c r="N257" s="29">
        <f t="shared" si="14"/>
        <v>224800</v>
      </c>
      <c r="O257" s="30">
        <f>K257/INDEX(Productos!$E$2:$E$11,MATCH(Datos_Ventas!D257,Productos!$A$2:$A$11,0))-1</f>
        <v>-4.1269841269841234E-2</v>
      </c>
      <c r="P257">
        <f t="shared" si="15"/>
        <v>1</v>
      </c>
    </row>
    <row r="258" spans="1:16" x14ac:dyDescent="0.2">
      <c r="A258">
        <f>Datos_Ventas!A258</f>
        <v>274</v>
      </c>
      <c r="B258" s="13">
        <f>Datos_Ventas!B258</f>
        <v>46204</v>
      </c>
      <c r="C258" t="str">
        <f t="shared" ref="C258:C321" si="16">CHOOSE(MONTH(B258),"01 Ene","02 Feb","03 Mar","04 Abr","05 May","06 Jun","07 Jul","08 Ago","09 Sep","10 Oct","11 Nov","12 Dic")</f>
        <v>07 Jul</v>
      </c>
      <c r="D258" t="str">
        <f t="shared" ref="D258:D321" si="17">"T"&amp;ROUNDUP(MONTH(B258)/3,0)</f>
        <v>T3</v>
      </c>
      <c r="E258" t="str">
        <f>INDEX(Productos!$B$2:$B$11,MATCH(Datos_Ventas!D258,Productos!$A$2:$A$11,0))</f>
        <v>Alimento Premium 10kg</v>
      </c>
      <c r="F258" t="str">
        <f>INDEX(Productos!$C$2:$C$11,MATCH(Datos_Ventas!D258,Productos!$A$2:$A$11,0))</f>
        <v>Alimentos</v>
      </c>
      <c r="G258" t="str">
        <f>INDEX(Clientes!$B$2:$B$11,MATCH(Datos_Ventas!C258,Clientes!$A$2:$A$11,0))</f>
        <v>Pet Shop Mascotas</v>
      </c>
      <c r="H258" t="str">
        <f>INDEX(Clientes!$C$2:$C$11,MATCH(Datos_Ventas!C258,Clientes!$A$2:$A$11,0))</f>
        <v>Especializado</v>
      </c>
      <c r="I258" t="str">
        <f>INDEX(Clientes!$D$2:$D$11,MATCH(Datos_Ventas!C258,Clientes!$A$2:$A$11,0))</f>
        <v>Mendoza</v>
      </c>
      <c r="J258">
        <f>Datos_Ventas!E258</f>
        <v>1</v>
      </c>
      <c r="K258" s="29">
        <f>Datos_Ventas!F258</f>
        <v>18760</v>
      </c>
      <c r="L258" s="29">
        <f>Datos_Ventas!G258</f>
        <v>18760</v>
      </c>
      <c r="M258" s="29">
        <f>J258*INDEX(Productos!$D$2:$D$11,MATCH(Datos_Ventas!D258,Productos!$A$2:$A$11,0))</f>
        <v>12500</v>
      </c>
      <c r="N258" s="29">
        <f t="shared" ref="N258:N321" si="18">L258-M258</f>
        <v>6260</v>
      </c>
      <c r="O258" s="30">
        <f>K258/INDEX(Productos!$E$2:$E$11,MATCH(Datos_Ventas!D258,Productos!$A$2:$A$11,0))-1</f>
        <v>-7.4074074074074181E-3</v>
      </c>
      <c r="P258">
        <f t="shared" ref="P258:P321" si="19">SUBTOTAL(103,A258)</f>
        <v>1</v>
      </c>
    </row>
    <row r="259" spans="1:16" x14ac:dyDescent="0.2">
      <c r="A259">
        <f>Datos_Ventas!A259</f>
        <v>275</v>
      </c>
      <c r="B259" s="13">
        <f>Datos_Ventas!B259</f>
        <v>46205</v>
      </c>
      <c r="C259" t="str">
        <f t="shared" si="16"/>
        <v>07 Jul</v>
      </c>
      <c r="D259" t="str">
        <f t="shared" si="17"/>
        <v>T3</v>
      </c>
      <c r="E259" t="str">
        <f>INDEX(Productos!$B$2:$B$11,MATCH(Datos_Ventas!D259,Productos!$A$2:$A$11,0))</f>
        <v>Alimento Balanceado 15kg</v>
      </c>
      <c r="F259" t="str">
        <f>INDEX(Productos!$C$2:$C$11,MATCH(Datos_Ventas!D259,Productos!$A$2:$A$11,0))</f>
        <v>Alimentos</v>
      </c>
      <c r="G259" t="str">
        <f>INDEX(Clientes!$B$2:$B$11,MATCH(Datos_Ventas!C259,Clientes!$A$2:$A$11,0))</f>
        <v>Veterinaria Sur</v>
      </c>
      <c r="H259" t="str">
        <f>INDEX(Clientes!$C$2:$C$11,MATCH(Datos_Ventas!C259,Clientes!$A$2:$A$11,0))</f>
        <v>Especializado</v>
      </c>
      <c r="I259" t="str">
        <f>INDEX(Clientes!$D$2:$D$11,MATCH(Datos_Ventas!C259,Clientes!$A$2:$A$11,0))</f>
        <v>Godoy Cruz</v>
      </c>
      <c r="J259">
        <f>Datos_Ventas!E259</f>
        <v>20</v>
      </c>
      <c r="K259" s="29">
        <f>Datos_Ventas!F259</f>
        <v>14180</v>
      </c>
      <c r="L259" s="29">
        <f>Datos_Ventas!G259</f>
        <v>283600</v>
      </c>
      <c r="M259" s="29">
        <f>J259*INDEX(Productos!$D$2:$D$11,MATCH(Datos_Ventas!D259,Productos!$A$2:$A$11,0))</f>
        <v>196000</v>
      </c>
      <c r="N259" s="29">
        <f t="shared" si="18"/>
        <v>87600</v>
      </c>
      <c r="O259" s="30">
        <f>K259/INDEX(Productos!$E$2:$E$11,MATCH(Datos_Ventas!D259,Productos!$A$2:$A$11,0))-1</f>
        <v>-2.2068965517241357E-2</v>
      </c>
      <c r="P259">
        <f t="shared" si="19"/>
        <v>1</v>
      </c>
    </row>
    <row r="260" spans="1:16" x14ac:dyDescent="0.2">
      <c r="A260">
        <f>Datos_Ventas!A260</f>
        <v>276</v>
      </c>
      <c r="B260" s="13">
        <f>Datos_Ventas!B260</f>
        <v>46205</v>
      </c>
      <c r="C260" t="str">
        <f t="shared" si="16"/>
        <v>07 Jul</v>
      </c>
      <c r="D260" t="str">
        <f t="shared" si="17"/>
        <v>T3</v>
      </c>
      <c r="E260" t="str">
        <f>INDEX(Productos!$B$2:$B$11,MATCH(Datos_Ventas!D260,Productos!$A$2:$A$11,0))</f>
        <v>Arena Sanitaria</v>
      </c>
      <c r="F260" t="str">
        <f>INDEX(Productos!$C$2:$C$11,MATCH(Datos_Ventas!D260,Productos!$A$2:$A$11,0))</f>
        <v>Higiene</v>
      </c>
      <c r="G260" t="str">
        <f>INDEX(Clientes!$B$2:$B$11,MATCH(Datos_Ventas!C260,Clientes!$A$2:$A$11,0))</f>
        <v>Despensa Vero</v>
      </c>
      <c r="H260" t="str">
        <f>INDEX(Clientes!$C$2:$C$11,MATCH(Datos_Ventas!C260,Clientes!$A$2:$A$11,0))</f>
        <v>Minorista</v>
      </c>
      <c r="I260" t="str">
        <f>INDEX(Clientes!$D$2:$D$11,MATCH(Datos_Ventas!C260,Clientes!$A$2:$A$11,0))</f>
        <v>Mendoza</v>
      </c>
      <c r="J260">
        <f>Datos_Ventas!E260</f>
        <v>40</v>
      </c>
      <c r="K260" s="29">
        <f>Datos_Ventas!F260</f>
        <v>4050</v>
      </c>
      <c r="L260" s="29">
        <f>Datos_Ventas!G260</f>
        <v>162000</v>
      </c>
      <c r="M260" s="29">
        <f>J260*INDEX(Productos!$D$2:$D$11,MATCH(Datos_Ventas!D260,Productos!$A$2:$A$11,0))</f>
        <v>104000</v>
      </c>
      <c r="N260" s="29">
        <f t="shared" si="18"/>
        <v>58000</v>
      </c>
      <c r="O260" s="30">
        <f>K260/INDEX(Productos!$E$2:$E$11,MATCH(Datos_Ventas!D260,Productos!$A$2:$A$11,0))-1</f>
        <v>-7.9545454545454586E-2</v>
      </c>
      <c r="P260">
        <f t="shared" si="19"/>
        <v>1</v>
      </c>
    </row>
    <row r="261" spans="1:16" x14ac:dyDescent="0.2">
      <c r="A261">
        <f>Datos_Ventas!A261</f>
        <v>278</v>
      </c>
      <c r="B261" s="13">
        <f>Datos_Ventas!B261</f>
        <v>46205</v>
      </c>
      <c r="C261" t="str">
        <f t="shared" si="16"/>
        <v>07 Jul</v>
      </c>
      <c r="D261" t="str">
        <f t="shared" si="17"/>
        <v>T3</v>
      </c>
      <c r="E261" t="str">
        <f>INDEX(Productos!$B$2:$B$11,MATCH(Datos_Ventas!D261,Productos!$A$2:$A$11,0))</f>
        <v>Correa Reforzada</v>
      </c>
      <c r="F261" t="str">
        <f>INDEX(Productos!$C$2:$C$11,MATCH(Datos_Ventas!D261,Productos!$A$2:$A$11,0))</f>
        <v>Accesorios</v>
      </c>
      <c r="G261" t="str">
        <f>INDEX(Clientes!$B$2:$B$11,MATCH(Datos_Ventas!C261,Clientes!$A$2:$A$11,0))</f>
        <v>Kiosco La Esquina</v>
      </c>
      <c r="H261" t="str">
        <f>INDEX(Clientes!$C$2:$C$11,MATCH(Datos_Ventas!C261,Clientes!$A$2:$A$11,0))</f>
        <v>Minorista</v>
      </c>
      <c r="I261" t="str">
        <f>INDEX(Clientes!$D$2:$D$11,MATCH(Datos_Ventas!C261,Clientes!$A$2:$A$11,0))</f>
        <v>Godoy Cruz</v>
      </c>
      <c r="J261">
        <f>Datos_Ventas!E261</f>
        <v>21</v>
      </c>
      <c r="K261" s="29">
        <f>Datos_Ventas!F261</f>
        <v>4860</v>
      </c>
      <c r="L261" s="29">
        <f>Datos_Ventas!G261</f>
        <v>102060</v>
      </c>
      <c r="M261" s="29">
        <f>J261*INDEX(Productos!$D$2:$D$11,MATCH(Datos_Ventas!D261,Productos!$A$2:$A$11,0))</f>
        <v>58800</v>
      </c>
      <c r="N261" s="29">
        <f t="shared" si="18"/>
        <v>43260</v>
      </c>
      <c r="O261" s="30">
        <f>K261/INDEX(Productos!$E$2:$E$11,MATCH(Datos_Ventas!D261,Productos!$A$2:$A$11,0))-1</f>
        <v>-6.5384615384615374E-2</v>
      </c>
      <c r="P261">
        <f t="shared" si="19"/>
        <v>1</v>
      </c>
    </row>
    <row r="262" spans="1:16" x14ac:dyDescent="0.2">
      <c r="A262">
        <f>Datos_Ventas!A262</f>
        <v>279</v>
      </c>
      <c r="B262" s="13">
        <f>Datos_Ventas!B262</f>
        <v>46206</v>
      </c>
      <c r="C262" t="str">
        <f t="shared" si="16"/>
        <v>07 Jul</v>
      </c>
      <c r="D262" t="str">
        <f t="shared" si="17"/>
        <v>T3</v>
      </c>
      <c r="E262" t="str">
        <f>INDEX(Productos!$B$2:$B$11,MATCH(Datos_Ventas!D262,Productos!$A$2:$A$11,0))</f>
        <v>Alimento Balanceado 15kg</v>
      </c>
      <c r="F262" t="str">
        <f>INDEX(Productos!$C$2:$C$11,MATCH(Datos_Ventas!D262,Productos!$A$2:$A$11,0))</f>
        <v>Alimentos</v>
      </c>
      <c r="G262" t="str">
        <f>INDEX(Clientes!$B$2:$B$11,MATCH(Datos_Ventas!C262,Clientes!$A$2:$A$11,0))</f>
        <v>Despensa Vero</v>
      </c>
      <c r="H262" t="str">
        <f>INDEX(Clientes!$C$2:$C$11,MATCH(Datos_Ventas!C262,Clientes!$A$2:$A$11,0))</f>
        <v>Minorista</v>
      </c>
      <c r="I262" t="str">
        <f>INDEX(Clientes!$D$2:$D$11,MATCH(Datos_Ventas!C262,Clientes!$A$2:$A$11,0))</f>
        <v>Mendoza</v>
      </c>
      <c r="J262">
        <f>Datos_Ventas!E262</f>
        <v>36</v>
      </c>
      <c r="K262" s="29">
        <f>Datos_Ventas!F262</f>
        <v>15160</v>
      </c>
      <c r="L262" s="29">
        <f>Datos_Ventas!G262</f>
        <v>545760</v>
      </c>
      <c r="M262" s="29">
        <f>J262*INDEX(Productos!$D$2:$D$11,MATCH(Datos_Ventas!D262,Productos!$A$2:$A$11,0))</f>
        <v>352800</v>
      </c>
      <c r="N262" s="29">
        <f t="shared" si="18"/>
        <v>192960</v>
      </c>
      <c r="O262" s="30">
        <f>K262/INDEX(Productos!$E$2:$E$11,MATCH(Datos_Ventas!D262,Productos!$A$2:$A$11,0))-1</f>
        <v>4.5517241379310347E-2</v>
      </c>
      <c r="P262">
        <f t="shared" si="19"/>
        <v>1</v>
      </c>
    </row>
    <row r="263" spans="1:16" x14ac:dyDescent="0.2">
      <c r="A263">
        <f>Datos_Ventas!A263</f>
        <v>280</v>
      </c>
      <c r="B263" s="13">
        <f>Datos_Ventas!B263</f>
        <v>46206</v>
      </c>
      <c r="C263" t="str">
        <f t="shared" si="16"/>
        <v>07 Jul</v>
      </c>
      <c r="D263" t="str">
        <f t="shared" si="17"/>
        <v>T3</v>
      </c>
      <c r="E263" t="str">
        <f>INDEX(Productos!$B$2:$B$11,MATCH(Datos_Ventas!D263,Productos!$A$2:$A$11,0))</f>
        <v>Snack Dental</v>
      </c>
      <c r="F263" t="str">
        <f>INDEX(Productos!$C$2:$C$11,MATCH(Datos_Ventas!D263,Productos!$A$2:$A$11,0))</f>
        <v>Snacks</v>
      </c>
      <c r="G263" t="str">
        <f>INDEX(Clientes!$B$2:$B$11,MATCH(Datos_Ventas!C263,Clientes!$A$2:$A$11,0))</f>
        <v>Distribuidora Andes</v>
      </c>
      <c r="H263" t="str">
        <f>INDEX(Clientes!$C$2:$C$11,MATCH(Datos_Ventas!C263,Clientes!$A$2:$A$11,0))</f>
        <v>Mayorista</v>
      </c>
      <c r="I263" t="str">
        <f>INDEX(Clientes!$D$2:$D$11,MATCH(Datos_Ventas!C263,Clientes!$A$2:$A$11,0))</f>
        <v>Mendoza</v>
      </c>
      <c r="J263">
        <f>Datos_Ventas!E263</f>
        <v>38</v>
      </c>
      <c r="K263" s="29">
        <f>Datos_Ventas!F263</f>
        <v>3260</v>
      </c>
      <c r="L263" s="29">
        <f>Datos_Ventas!G263</f>
        <v>123880</v>
      </c>
      <c r="M263" s="29">
        <f>J263*INDEX(Productos!$D$2:$D$11,MATCH(Datos_Ventas!D263,Productos!$A$2:$A$11,0))</f>
        <v>68400</v>
      </c>
      <c r="N263" s="29">
        <f t="shared" si="18"/>
        <v>55480</v>
      </c>
      <c r="O263" s="30">
        <f>K263/INDEX(Productos!$E$2:$E$11,MATCH(Datos_Ventas!D263,Productos!$A$2:$A$11,0))-1</f>
        <v>1.8750000000000044E-2</v>
      </c>
      <c r="P263">
        <f t="shared" si="19"/>
        <v>1</v>
      </c>
    </row>
    <row r="264" spans="1:16" x14ac:dyDescent="0.2">
      <c r="A264">
        <f>Datos_Ventas!A264</f>
        <v>281</v>
      </c>
      <c r="B264" s="13">
        <f>Datos_Ventas!B264</f>
        <v>46206</v>
      </c>
      <c r="C264" t="str">
        <f t="shared" si="16"/>
        <v>07 Jul</v>
      </c>
      <c r="D264" t="str">
        <f t="shared" si="17"/>
        <v>T3</v>
      </c>
      <c r="E264" t="str">
        <f>INDEX(Productos!$B$2:$B$11,MATCH(Datos_Ventas!D264,Productos!$A$2:$A$11,0))</f>
        <v>Arena Sanitaria</v>
      </c>
      <c r="F264" t="str">
        <f>INDEX(Productos!$C$2:$C$11,MATCH(Datos_Ventas!D264,Productos!$A$2:$A$11,0))</f>
        <v>Higiene</v>
      </c>
      <c r="G264" t="str">
        <f>INDEX(Clientes!$B$2:$B$11,MATCH(Datos_Ventas!C264,Clientes!$A$2:$A$11,0))</f>
        <v>Pet Shop Mascotas</v>
      </c>
      <c r="H264" t="str">
        <f>INDEX(Clientes!$C$2:$C$11,MATCH(Datos_Ventas!C264,Clientes!$A$2:$A$11,0))</f>
        <v>Especializado</v>
      </c>
      <c r="I264" t="str">
        <f>INDEX(Clientes!$D$2:$D$11,MATCH(Datos_Ventas!C264,Clientes!$A$2:$A$11,0))</f>
        <v>Mendoza</v>
      </c>
      <c r="J264">
        <f>Datos_Ventas!E264</f>
        <v>32</v>
      </c>
      <c r="K264" s="29">
        <f>Datos_Ventas!F264</f>
        <v>4490</v>
      </c>
      <c r="L264" s="29">
        <f>Datos_Ventas!G264</f>
        <v>143680</v>
      </c>
      <c r="M264" s="29">
        <f>J264*INDEX(Productos!$D$2:$D$11,MATCH(Datos_Ventas!D264,Productos!$A$2:$A$11,0))</f>
        <v>83200</v>
      </c>
      <c r="N264" s="29">
        <f t="shared" si="18"/>
        <v>60480</v>
      </c>
      <c r="O264" s="30">
        <f>K264/INDEX(Productos!$E$2:$E$11,MATCH(Datos_Ventas!D264,Productos!$A$2:$A$11,0))-1</f>
        <v>2.0454545454545503E-2</v>
      </c>
      <c r="P264">
        <f t="shared" si="19"/>
        <v>1</v>
      </c>
    </row>
    <row r="265" spans="1:16" x14ac:dyDescent="0.2">
      <c r="A265">
        <f>Datos_Ventas!A265</f>
        <v>282</v>
      </c>
      <c r="B265" s="13">
        <f>Datos_Ventas!B265</f>
        <v>46207</v>
      </c>
      <c r="C265" t="str">
        <f t="shared" si="16"/>
        <v>07 Jul</v>
      </c>
      <c r="D265" t="str">
        <f t="shared" si="17"/>
        <v>T3</v>
      </c>
      <c r="E265" t="str">
        <f>INDEX(Productos!$B$2:$B$11,MATCH(Datos_Ventas!D265,Productos!$A$2:$A$11,0))</f>
        <v>Snack Dental</v>
      </c>
      <c r="F265" t="str">
        <f>INDEX(Productos!$C$2:$C$11,MATCH(Datos_Ventas!D265,Productos!$A$2:$A$11,0))</f>
        <v>Snacks</v>
      </c>
      <c r="G265" t="str">
        <f>INDEX(Clientes!$B$2:$B$11,MATCH(Datos_Ventas!C265,Clientes!$A$2:$A$11,0))</f>
        <v>Despensa Vero</v>
      </c>
      <c r="H265" t="str">
        <f>INDEX(Clientes!$C$2:$C$11,MATCH(Datos_Ventas!C265,Clientes!$A$2:$A$11,0))</f>
        <v>Minorista</v>
      </c>
      <c r="I265" t="str">
        <f>INDEX(Clientes!$D$2:$D$11,MATCH(Datos_Ventas!C265,Clientes!$A$2:$A$11,0))</f>
        <v>Mendoza</v>
      </c>
      <c r="J265">
        <f>Datos_Ventas!E265</f>
        <v>10</v>
      </c>
      <c r="K265" s="29">
        <f>Datos_Ventas!F265</f>
        <v>3070</v>
      </c>
      <c r="L265" s="29">
        <f>Datos_Ventas!G265</f>
        <v>30700</v>
      </c>
      <c r="M265" s="29">
        <f>J265*INDEX(Productos!$D$2:$D$11,MATCH(Datos_Ventas!D265,Productos!$A$2:$A$11,0))</f>
        <v>18000</v>
      </c>
      <c r="N265" s="29">
        <f t="shared" si="18"/>
        <v>12700</v>
      </c>
      <c r="O265" s="30">
        <f>K265/INDEX(Productos!$E$2:$E$11,MATCH(Datos_Ventas!D265,Productos!$A$2:$A$11,0))-1</f>
        <v>-4.0625000000000022E-2</v>
      </c>
      <c r="P265">
        <f t="shared" si="19"/>
        <v>1</v>
      </c>
    </row>
    <row r="266" spans="1:16" x14ac:dyDescent="0.2">
      <c r="A266">
        <f>Datos_Ventas!A266</f>
        <v>283</v>
      </c>
      <c r="B266" s="13">
        <f>Datos_Ventas!B266</f>
        <v>46208</v>
      </c>
      <c r="C266" t="str">
        <f t="shared" si="16"/>
        <v>07 Jul</v>
      </c>
      <c r="D266" t="str">
        <f t="shared" si="17"/>
        <v>T3</v>
      </c>
      <c r="E266" t="str">
        <f>INDEX(Productos!$B$2:$B$11,MATCH(Datos_Ventas!D266,Productos!$A$2:$A$11,0))</f>
        <v>Alimento Premium 10kg</v>
      </c>
      <c r="F266" t="str">
        <f>INDEX(Productos!$C$2:$C$11,MATCH(Datos_Ventas!D266,Productos!$A$2:$A$11,0))</f>
        <v>Alimentos</v>
      </c>
      <c r="G266" t="str">
        <f>INDEX(Clientes!$B$2:$B$11,MATCH(Datos_Ventas!C266,Clientes!$A$2:$A$11,0))</f>
        <v>Autoservicio Norte</v>
      </c>
      <c r="H266" t="str">
        <f>INDEX(Clientes!$C$2:$C$11,MATCH(Datos_Ventas!C266,Clientes!$A$2:$A$11,0))</f>
        <v>Retail</v>
      </c>
      <c r="I266" t="str">
        <f>INDEX(Clientes!$D$2:$D$11,MATCH(Datos_Ventas!C266,Clientes!$A$2:$A$11,0))</f>
        <v>Las Heras</v>
      </c>
      <c r="J266">
        <f>Datos_Ventas!E266</f>
        <v>30</v>
      </c>
      <c r="K266" s="29">
        <f>Datos_Ventas!F266</f>
        <v>18280</v>
      </c>
      <c r="L266" s="29">
        <f>Datos_Ventas!G266</f>
        <v>548400</v>
      </c>
      <c r="M266" s="29">
        <f>J266*INDEX(Productos!$D$2:$D$11,MATCH(Datos_Ventas!D266,Productos!$A$2:$A$11,0))</f>
        <v>375000</v>
      </c>
      <c r="N266" s="29">
        <f t="shared" si="18"/>
        <v>173400</v>
      </c>
      <c r="O266" s="30">
        <f>K266/INDEX(Productos!$E$2:$E$11,MATCH(Datos_Ventas!D266,Productos!$A$2:$A$11,0))-1</f>
        <v>-3.2804232804232836E-2</v>
      </c>
      <c r="P266">
        <f t="shared" si="19"/>
        <v>1</v>
      </c>
    </row>
    <row r="267" spans="1:16" x14ac:dyDescent="0.2">
      <c r="A267">
        <f>Datos_Ventas!A267</f>
        <v>284</v>
      </c>
      <c r="B267" s="13">
        <f>Datos_Ventas!B267</f>
        <v>46209</v>
      </c>
      <c r="C267" t="str">
        <f t="shared" si="16"/>
        <v>07 Jul</v>
      </c>
      <c r="D267" t="str">
        <f t="shared" si="17"/>
        <v>T3</v>
      </c>
      <c r="E267" t="str">
        <f>INDEX(Productos!$B$2:$B$11,MATCH(Datos_Ventas!D267,Productos!$A$2:$A$11,0))</f>
        <v>Aceite Omega</v>
      </c>
      <c r="F267" t="str">
        <f>INDEX(Productos!$C$2:$C$11,MATCH(Datos_Ventas!D267,Productos!$A$2:$A$11,0))</f>
        <v>Suplementos</v>
      </c>
      <c r="G267" t="str">
        <f>INDEX(Clientes!$B$2:$B$11,MATCH(Datos_Ventas!C267,Clientes!$A$2:$A$11,0))</f>
        <v>Despensa Vero</v>
      </c>
      <c r="H267" t="str">
        <f>INDEX(Clientes!$C$2:$C$11,MATCH(Datos_Ventas!C267,Clientes!$A$2:$A$11,0))</f>
        <v>Minorista</v>
      </c>
      <c r="I267" t="str">
        <f>INDEX(Clientes!$D$2:$D$11,MATCH(Datos_Ventas!C267,Clientes!$A$2:$A$11,0))</f>
        <v>Mendoza</v>
      </c>
      <c r="J267">
        <f>Datos_Ventas!E267</f>
        <v>38</v>
      </c>
      <c r="K267" s="29">
        <f>Datos_Ventas!F267</f>
        <v>5240</v>
      </c>
      <c r="L267" s="29">
        <f>Datos_Ventas!G267</f>
        <v>199120</v>
      </c>
      <c r="M267" s="29">
        <f>J267*INDEX(Productos!$D$2:$D$11,MATCH(Datos_Ventas!D267,Productos!$A$2:$A$11,0))</f>
        <v>117800</v>
      </c>
      <c r="N267" s="29">
        <f t="shared" si="18"/>
        <v>81320</v>
      </c>
      <c r="O267" s="30">
        <f>K267/INDEX(Productos!$E$2:$E$11,MATCH(Datos_Ventas!D267,Productos!$A$2:$A$11,0))-1</f>
        <v>-6.4285714285714279E-2</v>
      </c>
      <c r="P267">
        <f t="shared" si="19"/>
        <v>1</v>
      </c>
    </row>
    <row r="268" spans="1:16" x14ac:dyDescent="0.2">
      <c r="A268">
        <f>Datos_Ventas!A268</f>
        <v>285</v>
      </c>
      <c r="B268" s="13">
        <f>Datos_Ventas!B268</f>
        <v>46210</v>
      </c>
      <c r="C268" t="str">
        <f t="shared" si="16"/>
        <v>07 Jul</v>
      </c>
      <c r="D268" t="str">
        <f t="shared" si="17"/>
        <v>T3</v>
      </c>
      <c r="E268" t="str">
        <f>INDEX(Productos!$B$2:$B$11,MATCH(Datos_Ventas!D268,Productos!$A$2:$A$11,0))</f>
        <v>Aceite Omega</v>
      </c>
      <c r="F268" t="str">
        <f>INDEX(Productos!$C$2:$C$11,MATCH(Datos_Ventas!D268,Productos!$A$2:$A$11,0))</f>
        <v>Suplementos</v>
      </c>
      <c r="G268" t="str">
        <f>INDEX(Clientes!$B$2:$B$11,MATCH(Datos_Ventas!C268,Clientes!$A$2:$A$11,0))</f>
        <v>Despensa Vero</v>
      </c>
      <c r="H268" t="str">
        <f>INDEX(Clientes!$C$2:$C$11,MATCH(Datos_Ventas!C268,Clientes!$A$2:$A$11,0))</f>
        <v>Minorista</v>
      </c>
      <c r="I268" t="str">
        <f>INDEX(Clientes!$D$2:$D$11,MATCH(Datos_Ventas!C268,Clientes!$A$2:$A$11,0))</f>
        <v>Mendoza</v>
      </c>
      <c r="J268">
        <f>Datos_Ventas!E268</f>
        <v>1</v>
      </c>
      <c r="K268" s="29">
        <f>Datos_Ventas!F268</f>
        <v>5550</v>
      </c>
      <c r="L268" s="29">
        <f>Datos_Ventas!G268</f>
        <v>5550</v>
      </c>
      <c r="M268" s="29">
        <f>J268*INDEX(Productos!$D$2:$D$11,MATCH(Datos_Ventas!D268,Productos!$A$2:$A$11,0))</f>
        <v>3100</v>
      </c>
      <c r="N268" s="29">
        <f t="shared" si="18"/>
        <v>2450</v>
      </c>
      <c r="O268" s="30">
        <f>K268/INDEX(Productos!$E$2:$E$11,MATCH(Datos_Ventas!D268,Productos!$A$2:$A$11,0))-1</f>
        <v>-8.9285714285713969E-3</v>
      </c>
      <c r="P268">
        <f t="shared" si="19"/>
        <v>1</v>
      </c>
    </row>
    <row r="269" spans="1:16" x14ac:dyDescent="0.2">
      <c r="A269">
        <f>Datos_Ventas!A269</f>
        <v>286</v>
      </c>
      <c r="B269" s="13">
        <f>Datos_Ventas!B269</f>
        <v>46211</v>
      </c>
      <c r="C269" t="str">
        <f t="shared" si="16"/>
        <v>07 Jul</v>
      </c>
      <c r="D269" t="str">
        <f t="shared" si="17"/>
        <v>T3</v>
      </c>
      <c r="E269" t="str">
        <f>INDEX(Productos!$B$2:$B$11,MATCH(Datos_Ventas!D269,Productos!$A$2:$A$11,0))</f>
        <v>Alimento Balanceado 15kg</v>
      </c>
      <c r="F269" t="str">
        <f>INDEX(Productos!$C$2:$C$11,MATCH(Datos_Ventas!D269,Productos!$A$2:$A$11,0))</f>
        <v>Alimentos</v>
      </c>
      <c r="G269" t="str">
        <f>INDEX(Clientes!$B$2:$B$11,MATCH(Datos_Ventas!C269,Clientes!$A$2:$A$11,0))</f>
        <v>Hiper Centro</v>
      </c>
      <c r="H269" t="str">
        <f>INDEX(Clientes!$C$2:$C$11,MATCH(Datos_Ventas!C269,Clientes!$A$2:$A$11,0))</f>
        <v>Retail</v>
      </c>
      <c r="I269" t="str">
        <f>INDEX(Clientes!$D$2:$D$11,MATCH(Datos_Ventas!C269,Clientes!$A$2:$A$11,0))</f>
        <v>Luján de Cuyo</v>
      </c>
      <c r="J269">
        <f>Datos_Ventas!E269</f>
        <v>28</v>
      </c>
      <c r="K269" s="29">
        <f>Datos_Ventas!F269</f>
        <v>15530</v>
      </c>
      <c r="L269" s="29">
        <f>Datos_Ventas!G269</f>
        <v>434840</v>
      </c>
      <c r="M269" s="29">
        <f>J269*INDEX(Productos!$D$2:$D$11,MATCH(Datos_Ventas!D269,Productos!$A$2:$A$11,0))</f>
        <v>274400</v>
      </c>
      <c r="N269" s="29">
        <f t="shared" si="18"/>
        <v>160440</v>
      </c>
      <c r="O269" s="30">
        <f>K269/INDEX(Productos!$E$2:$E$11,MATCH(Datos_Ventas!D269,Productos!$A$2:$A$11,0))-1</f>
        <v>7.1034482758620676E-2</v>
      </c>
      <c r="P269">
        <f t="shared" si="19"/>
        <v>1</v>
      </c>
    </row>
    <row r="270" spans="1:16" x14ac:dyDescent="0.2">
      <c r="A270">
        <f>Datos_Ventas!A270</f>
        <v>287</v>
      </c>
      <c r="B270" s="13">
        <f>Datos_Ventas!B270</f>
        <v>46212</v>
      </c>
      <c r="C270" t="str">
        <f t="shared" si="16"/>
        <v>07 Jul</v>
      </c>
      <c r="D270" t="str">
        <f t="shared" si="17"/>
        <v>T3</v>
      </c>
      <c r="E270" t="str">
        <f>INDEX(Productos!$B$2:$B$11,MATCH(Datos_Ventas!D270,Productos!$A$2:$A$11,0))</f>
        <v>Snack Dental</v>
      </c>
      <c r="F270" t="str">
        <f>INDEX(Productos!$C$2:$C$11,MATCH(Datos_Ventas!D270,Productos!$A$2:$A$11,0))</f>
        <v>Snacks</v>
      </c>
      <c r="G270" t="str">
        <f>INDEX(Clientes!$B$2:$B$11,MATCH(Datos_Ventas!C270,Clientes!$A$2:$A$11,0))</f>
        <v>Autoservicio Norte</v>
      </c>
      <c r="H270" t="str">
        <f>INDEX(Clientes!$C$2:$C$11,MATCH(Datos_Ventas!C270,Clientes!$A$2:$A$11,0))</f>
        <v>Retail</v>
      </c>
      <c r="I270" t="str">
        <f>INDEX(Clientes!$D$2:$D$11,MATCH(Datos_Ventas!C270,Clientes!$A$2:$A$11,0))</f>
        <v>Las Heras</v>
      </c>
      <c r="J270">
        <f>Datos_Ventas!E270</f>
        <v>11</v>
      </c>
      <c r="K270" s="29">
        <f>Datos_Ventas!F270</f>
        <v>3240</v>
      </c>
      <c r="L270" s="29">
        <f>Datos_Ventas!G270</f>
        <v>35640</v>
      </c>
      <c r="M270" s="29">
        <f>J270*INDEX(Productos!$D$2:$D$11,MATCH(Datos_Ventas!D270,Productos!$A$2:$A$11,0))</f>
        <v>19800</v>
      </c>
      <c r="N270" s="29">
        <f t="shared" si="18"/>
        <v>15840</v>
      </c>
      <c r="O270" s="30">
        <f>K270/INDEX(Productos!$E$2:$E$11,MATCH(Datos_Ventas!D270,Productos!$A$2:$A$11,0))-1</f>
        <v>1.2499999999999956E-2</v>
      </c>
      <c r="P270">
        <f t="shared" si="19"/>
        <v>1</v>
      </c>
    </row>
    <row r="271" spans="1:16" x14ac:dyDescent="0.2">
      <c r="A271">
        <f>Datos_Ventas!A271</f>
        <v>288</v>
      </c>
      <c r="B271" s="13">
        <f>Datos_Ventas!B271</f>
        <v>46214</v>
      </c>
      <c r="C271" t="str">
        <f t="shared" si="16"/>
        <v>07 Jul</v>
      </c>
      <c r="D271" t="str">
        <f t="shared" si="17"/>
        <v>T3</v>
      </c>
      <c r="E271" t="str">
        <f>INDEX(Productos!$B$2:$B$11,MATCH(Datos_Ventas!D271,Productos!$A$2:$A$11,0))</f>
        <v>Snack Dental</v>
      </c>
      <c r="F271" t="str">
        <f>INDEX(Productos!$C$2:$C$11,MATCH(Datos_Ventas!D271,Productos!$A$2:$A$11,0))</f>
        <v>Snacks</v>
      </c>
      <c r="G271" t="str">
        <f>INDEX(Clientes!$B$2:$B$11,MATCH(Datos_Ventas!C271,Clientes!$A$2:$A$11,0))</f>
        <v>Distribuidora Andes</v>
      </c>
      <c r="H271" t="str">
        <f>INDEX(Clientes!$C$2:$C$11,MATCH(Datos_Ventas!C271,Clientes!$A$2:$A$11,0))</f>
        <v>Mayorista</v>
      </c>
      <c r="I271" t="str">
        <f>INDEX(Clientes!$D$2:$D$11,MATCH(Datos_Ventas!C271,Clientes!$A$2:$A$11,0))</f>
        <v>Mendoza</v>
      </c>
      <c r="J271">
        <f>Datos_Ventas!E271</f>
        <v>19</v>
      </c>
      <c r="K271" s="29">
        <f>Datos_Ventas!F271</f>
        <v>3020</v>
      </c>
      <c r="L271" s="29">
        <f>Datos_Ventas!G271</f>
        <v>57380</v>
      </c>
      <c r="M271" s="29">
        <f>J271*INDEX(Productos!$D$2:$D$11,MATCH(Datos_Ventas!D271,Productos!$A$2:$A$11,0))</f>
        <v>34200</v>
      </c>
      <c r="N271" s="29">
        <f t="shared" si="18"/>
        <v>23180</v>
      </c>
      <c r="O271" s="30">
        <f>K271/INDEX(Productos!$E$2:$E$11,MATCH(Datos_Ventas!D271,Productos!$A$2:$A$11,0))-1</f>
        <v>-5.6250000000000022E-2</v>
      </c>
      <c r="P271">
        <f t="shared" si="19"/>
        <v>1</v>
      </c>
    </row>
    <row r="272" spans="1:16" x14ac:dyDescent="0.2">
      <c r="A272">
        <f>Datos_Ventas!A272</f>
        <v>289</v>
      </c>
      <c r="B272" s="13">
        <f>Datos_Ventas!B272</f>
        <v>46214</v>
      </c>
      <c r="C272" t="str">
        <f t="shared" si="16"/>
        <v>07 Jul</v>
      </c>
      <c r="D272" t="str">
        <f t="shared" si="17"/>
        <v>T3</v>
      </c>
      <c r="E272" t="str">
        <f>INDEX(Productos!$B$2:$B$11,MATCH(Datos_Ventas!D272,Productos!$A$2:$A$11,0))</f>
        <v>Snack Dental</v>
      </c>
      <c r="F272" t="str">
        <f>INDEX(Productos!$C$2:$C$11,MATCH(Datos_Ventas!D272,Productos!$A$2:$A$11,0))</f>
        <v>Snacks</v>
      </c>
      <c r="G272" t="str">
        <f>INDEX(Clientes!$B$2:$B$11,MATCH(Datos_Ventas!C272,Clientes!$A$2:$A$11,0))</f>
        <v>Despensa Vero</v>
      </c>
      <c r="H272" t="str">
        <f>INDEX(Clientes!$C$2:$C$11,MATCH(Datos_Ventas!C272,Clientes!$A$2:$A$11,0))</f>
        <v>Minorista</v>
      </c>
      <c r="I272" t="str">
        <f>INDEX(Clientes!$D$2:$D$11,MATCH(Datos_Ventas!C272,Clientes!$A$2:$A$11,0))</f>
        <v>Mendoza</v>
      </c>
      <c r="J272">
        <f>Datos_Ventas!E272</f>
        <v>30</v>
      </c>
      <c r="K272" s="29">
        <f>Datos_Ventas!F272</f>
        <v>3120</v>
      </c>
      <c r="L272" s="29">
        <f>Datos_Ventas!G272</f>
        <v>93600</v>
      </c>
      <c r="M272" s="29">
        <f>J272*INDEX(Productos!$D$2:$D$11,MATCH(Datos_Ventas!D272,Productos!$A$2:$A$11,0))</f>
        <v>54000</v>
      </c>
      <c r="N272" s="29">
        <f t="shared" si="18"/>
        <v>39600</v>
      </c>
      <c r="O272" s="30">
        <f>K272/INDEX(Productos!$E$2:$E$11,MATCH(Datos_Ventas!D272,Productos!$A$2:$A$11,0))-1</f>
        <v>-2.5000000000000022E-2</v>
      </c>
      <c r="P272">
        <f t="shared" si="19"/>
        <v>1</v>
      </c>
    </row>
    <row r="273" spans="1:16" x14ac:dyDescent="0.2">
      <c r="A273">
        <f>Datos_Ventas!A273</f>
        <v>291</v>
      </c>
      <c r="B273" s="13">
        <f>Datos_Ventas!B273</f>
        <v>46217</v>
      </c>
      <c r="C273" t="str">
        <f t="shared" si="16"/>
        <v>07 Jul</v>
      </c>
      <c r="D273" t="str">
        <f t="shared" si="17"/>
        <v>T3</v>
      </c>
      <c r="E273" t="str">
        <f>INDEX(Productos!$B$2:$B$11,MATCH(Datos_Ventas!D273,Productos!$A$2:$A$11,0))</f>
        <v>Snack Dental</v>
      </c>
      <c r="F273" t="str">
        <f>INDEX(Productos!$C$2:$C$11,MATCH(Datos_Ventas!D273,Productos!$A$2:$A$11,0))</f>
        <v>Snacks</v>
      </c>
      <c r="G273" t="str">
        <f>INDEX(Clientes!$B$2:$B$11,MATCH(Datos_Ventas!C273,Clientes!$A$2:$A$11,0))</f>
        <v>Despensa Vero</v>
      </c>
      <c r="H273" t="str">
        <f>INDEX(Clientes!$C$2:$C$11,MATCH(Datos_Ventas!C273,Clientes!$A$2:$A$11,0))</f>
        <v>Minorista</v>
      </c>
      <c r="I273" t="str">
        <f>INDEX(Clientes!$D$2:$D$11,MATCH(Datos_Ventas!C273,Clientes!$A$2:$A$11,0))</f>
        <v>Mendoza</v>
      </c>
      <c r="J273">
        <f>Datos_Ventas!E273</f>
        <v>39</v>
      </c>
      <c r="K273" s="29">
        <f>Datos_Ventas!F273</f>
        <v>3240</v>
      </c>
      <c r="L273" s="29">
        <f>Datos_Ventas!G273</f>
        <v>126360</v>
      </c>
      <c r="M273" s="29">
        <f>J273*INDEX(Productos!$D$2:$D$11,MATCH(Datos_Ventas!D273,Productos!$A$2:$A$11,0))</f>
        <v>70200</v>
      </c>
      <c r="N273" s="29">
        <f t="shared" si="18"/>
        <v>56160</v>
      </c>
      <c r="O273" s="30">
        <f>K273/INDEX(Productos!$E$2:$E$11,MATCH(Datos_Ventas!D273,Productos!$A$2:$A$11,0))-1</f>
        <v>1.2499999999999956E-2</v>
      </c>
      <c r="P273">
        <f t="shared" si="19"/>
        <v>1</v>
      </c>
    </row>
    <row r="274" spans="1:16" x14ac:dyDescent="0.2">
      <c r="A274">
        <f>Datos_Ventas!A274</f>
        <v>292</v>
      </c>
      <c r="B274" s="13">
        <f>Datos_Ventas!B274</f>
        <v>46217</v>
      </c>
      <c r="C274" t="str">
        <f t="shared" si="16"/>
        <v>07 Jul</v>
      </c>
      <c r="D274" t="str">
        <f t="shared" si="17"/>
        <v>T3</v>
      </c>
      <c r="E274" t="str">
        <f>INDEX(Productos!$B$2:$B$11,MATCH(Datos_Ventas!D274,Productos!$A$2:$A$11,0))</f>
        <v>Alimento Premium 10kg</v>
      </c>
      <c r="F274" t="str">
        <f>INDEX(Productos!$C$2:$C$11,MATCH(Datos_Ventas!D274,Productos!$A$2:$A$11,0))</f>
        <v>Alimentos</v>
      </c>
      <c r="G274" t="str">
        <f>INDEX(Clientes!$B$2:$B$11,MATCH(Datos_Ventas!C274,Clientes!$A$2:$A$11,0))</f>
        <v>Despensa Vero</v>
      </c>
      <c r="H274" t="str">
        <f>INDEX(Clientes!$C$2:$C$11,MATCH(Datos_Ventas!C274,Clientes!$A$2:$A$11,0))</f>
        <v>Minorista</v>
      </c>
      <c r="I274" t="str">
        <f>INDEX(Clientes!$D$2:$D$11,MATCH(Datos_Ventas!C274,Clientes!$A$2:$A$11,0))</f>
        <v>Mendoza</v>
      </c>
      <c r="J274">
        <f>Datos_Ventas!E274</f>
        <v>18</v>
      </c>
      <c r="K274" s="29">
        <f>Datos_Ventas!F274</f>
        <v>18310</v>
      </c>
      <c r="L274" s="29">
        <f>Datos_Ventas!G274</f>
        <v>329580</v>
      </c>
      <c r="M274" s="29">
        <f>J274*INDEX(Productos!$D$2:$D$11,MATCH(Datos_Ventas!D274,Productos!$A$2:$A$11,0))</f>
        <v>225000</v>
      </c>
      <c r="N274" s="29">
        <f t="shared" si="18"/>
        <v>104580</v>
      </c>
      <c r="O274" s="30">
        <f>K274/INDEX(Productos!$E$2:$E$11,MATCH(Datos_Ventas!D274,Productos!$A$2:$A$11,0))-1</f>
        <v>-3.1216931216931254E-2</v>
      </c>
      <c r="P274">
        <f t="shared" si="19"/>
        <v>1</v>
      </c>
    </row>
    <row r="275" spans="1:16" x14ac:dyDescent="0.2">
      <c r="A275">
        <f>Datos_Ventas!A275</f>
        <v>293</v>
      </c>
      <c r="B275" s="13">
        <f>Datos_Ventas!B275</f>
        <v>46218</v>
      </c>
      <c r="C275" t="str">
        <f t="shared" si="16"/>
        <v>07 Jul</v>
      </c>
      <c r="D275" t="str">
        <f t="shared" si="17"/>
        <v>T3</v>
      </c>
      <c r="E275" t="str">
        <f>INDEX(Productos!$B$2:$B$11,MATCH(Datos_Ventas!D275,Productos!$A$2:$A$11,0))</f>
        <v>Snack Dental</v>
      </c>
      <c r="F275" t="str">
        <f>INDEX(Productos!$C$2:$C$11,MATCH(Datos_Ventas!D275,Productos!$A$2:$A$11,0))</f>
        <v>Snacks</v>
      </c>
      <c r="G275" t="str">
        <f>INDEX(Clientes!$B$2:$B$11,MATCH(Datos_Ventas!C275,Clientes!$A$2:$A$11,0))</f>
        <v>Pet Shop Mascotas</v>
      </c>
      <c r="H275" t="str">
        <f>INDEX(Clientes!$C$2:$C$11,MATCH(Datos_Ventas!C275,Clientes!$A$2:$A$11,0))</f>
        <v>Especializado</v>
      </c>
      <c r="I275" t="str">
        <f>INDEX(Clientes!$D$2:$D$11,MATCH(Datos_Ventas!C275,Clientes!$A$2:$A$11,0))</f>
        <v>Mendoza</v>
      </c>
      <c r="J275">
        <f>Datos_Ventas!E275</f>
        <v>21</v>
      </c>
      <c r="K275" s="29">
        <f>Datos_Ventas!F275</f>
        <v>2970</v>
      </c>
      <c r="L275" s="29">
        <f>Datos_Ventas!G275</f>
        <v>62370</v>
      </c>
      <c r="M275" s="29">
        <f>J275*INDEX(Productos!$D$2:$D$11,MATCH(Datos_Ventas!D275,Productos!$A$2:$A$11,0))</f>
        <v>37800</v>
      </c>
      <c r="N275" s="29">
        <f t="shared" si="18"/>
        <v>24570</v>
      </c>
      <c r="O275" s="30">
        <f>K275/INDEX(Productos!$E$2:$E$11,MATCH(Datos_Ventas!D275,Productos!$A$2:$A$11,0))-1</f>
        <v>-7.1875000000000022E-2</v>
      </c>
      <c r="P275">
        <f t="shared" si="19"/>
        <v>1</v>
      </c>
    </row>
    <row r="276" spans="1:16" x14ac:dyDescent="0.2">
      <c r="A276">
        <f>Datos_Ventas!A276</f>
        <v>294</v>
      </c>
      <c r="B276" s="13">
        <f>Datos_Ventas!B276</f>
        <v>46218</v>
      </c>
      <c r="C276" t="str">
        <f t="shared" si="16"/>
        <v>07 Jul</v>
      </c>
      <c r="D276" t="str">
        <f t="shared" si="17"/>
        <v>T3</v>
      </c>
      <c r="E276" t="str">
        <f>INDEX(Productos!$B$2:$B$11,MATCH(Datos_Ventas!D276,Productos!$A$2:$A$11,0))</f>
        <v>Collar Ajustable</v>
      </c>
      <c r="F276" t="str">
        <f>INDEX(Productos!$C$2:$C$11,MATCH(Datos_Ventas!D276,Productos!$A$2:$A$11,0))</f>
        <v>Accesorios</v>
      </c>
      <c r="G276" t="str">
        <f>INDEX(Clientes!$B$2:$B$11,MATCH(Datos_Ventas!C276,Clientes!$A$2:$A$11,0))</f>
        <v>Distribuidora Andes</v>
      </c>
      <c r="H276" t="str">
        <f>INDEX(Clientes!$C$2:$C$11,MATCH(Datos_Ventas!C276,Clientes!$A$2:$A$11,0))</f>
        <v>Mayorista</v>
      </c>
      <c r="I276" t="str">
        <f>INDEX(Clientes!$D$2:$D$11,MATCH(Datos_Ventas!C276,Clientes!$A$2:$A$11,0))</f>
        <v>Mendoza</v>
      </c>
      <c r="J276">
        <f>Datos_Ventas!E276</f>
        <v>10</v>
      </c>
      <c r="K276" s="29">
        <f>Datos_Ventas!F276</f>
        <v>3420</v>
      </c>
      <c r="L276" s="29">
        <f>Datos_Ventas!G276</f>
        <v>34200</v>
      </c>
      <c r="M276" s="29">
        <f>J276*INDEX(Productos!$D$2:$D$11,MATCH(Datos_Ventas!D276,Productos!$A$2:$A$11,0))</f>
        <v>19000</v>
      </c>
      <c r="N276" s="29">
        <f t="shared" si="18"/>
        <v>15200</v>
      </c>
      <c r="O276" s="30">
        <f>K276/INDEX(Productos!$E$2:$E$11,MATCH(Datos_Ventas!D276,Productos!$A$2:$A$11,0))-1</f>
        <v>-5.0000000000000044E-2</v>
      </c>
      <c r="P276">
        <f t="shared" si="19"/>
        <v>1</v>
      </c>
    </row>
    <row r="277" spans="1:16" x14ac:dyDescent="0.2">
      <c r="A277">
        <f>Datos_Ventas!A277</f>
        <v>295</v>
      </c>
      <c r="B277" s="13">
        <f>Datos_Ventas!B277</f>
        <v>46219</v>
      </c>
      <c r="C277" t="str">
        <f t="shared" si="16"/>
        <v>07 Jul</v>
      </c>
      <c r="D277" t="str">
        <f t="shared" si="17"/>
        <v>T3</v>
      </c>
      <c r="E277" t="str">
        <f>INDEX(Productos!$B$2:$B$11,MATCH(Datos_Ventas!D277,Productos!$A$2:$A$11,0))</f>
        <v>Aceite Omega</v>
      </c>
      <c r="F277" t="str">
        <f>INDEX(Productos!$C$2:$C$11,MATCH(Datos_Ventas!D277,Productos!$A$2:$A$11,0))</f>
        <v>Suplementos</v>
      </c>
      <c r="G277" t="str">
        <f>INDEX(Clientes!$B$2:$B$11,MATCH(Datos_Ventas!C277,Clientes!$A$2:$A$11,0))</f>
        <v>Almacén Don Pedro</v>
      </c>
      <c r="H277" t="str">
        <f>INDEX(Clientes!$C$2:$C$11,MATCH(Datos_Ventas!C277,Clientes!$A$2:$A$11,0))</f>
        <v>Minorista</v>
      </c>
      <c r="I277" t="str">
        <f>INDEX(Clientes!$D$2:$D$11,MATCH(Datos_Ventas!C277,Clientes!$A$2:$A$11,0))</f>
        <v>Maipú</v>
      </c>
      <c r="J277">
        <f>Datos_Ventas!E277</f>
        <v>31</v>
      </c>
      <c r="K277" s="29">
        <f>Datos_Ventas!F277</f>
        <v>5900</v>
      </c>
      <c r="L277" s="29">
        <f>Datos_Ventas!G277</f>
        <v>182900</v>
      </c>
      <c r="M277" s="29">
        <f>J277*INDEX(Productos!$D$2:$D$11,MATCH(Datos_Ventas!D277,Productos!$A$2:$A$11,0))</f>
        <v>96100</v>
      </c>
      <c r="N277" s="29">
        <f t="shared" si="18"/>
        <v>86800</v>
      </c>
      <c r="O277" s="30">
        <f>K277/INDEX(Productos!$E$2:$E$11,MATCH(Datos_Ventas!D277,Productos!$A$2:$A$11,0))-1</f>
        <v>5.3571428571428603E-2</v>
      </c>
      <c r="P277">
        <f t="shared" si="19"/>
        <v>1</v>
      </c>
    </row>
    <row r="278" spans="1:16" x14ac:dyDescent="0.2">
      <c r="A278">
        <f>Datos_Ventas!A278</f>
        <v>296</v>
      </c>
      <c r="B278" s="13">
        <f>Datos_Ventas!B278</f>
        <v>46219</v>
      </c>
      <c r="C278" t="str">
        <f t="shared" si="16"/>
        <v>07 Jul</v>
      </c>
      <c r="D278" t="str">
        <f t="shared" si="17"/>
        <v>T3</v>
      </c>
      <c r="E278" t="str">
        <f>INDEX(Productos!$B$2:$B$11,MATCH(Datos_Ventas!D278,Productos!$A$2:$A$11,0))</f>
        <v>Shampoo Mascotas</v>
      </c>
      <c r="F278" t="str">
        <f>INDEX(Productos!$C$2:$C$11,MATCH(Datos_Ventas!D278,Productos!$A$2:$A$11,0))</f>
        <v>Higiene</v>
      </c>
      <c r="G278" t="str">
        <f>INDEX(Clientes!$B$2:$B$11,MATCH(Datos_Ventas!C278,Clientes!$A$2:$A$11,0))</f>
        <v>Supermercado Cuyo</v>
      </c>
      <c r="H278" t="str">
        <f>INDEX(Clientes!$C$2:$C$11,MATCH(Datos_Ventas!C278,Clientes!$A$2:$A$11,0))</f>
        <v>Retail</v>
      </c>
      <c r="I278" t="str">
        <f>INDEX(Clientes!$D$2:$D$11,MATCH(Datos_Ventas!C278,Clientes!$A$2:$A$11,0))</f>
        <v>Guaymallén</v>
      </c>
      <c r="J278">
        <f>Datos_Ventas!E278</f>
        <v>17</v>
      </c>
      <c r="K278" s="29">
        <f>Datos_Ventas!F278</f>
        <v>3650</v>
      </c>
      <c r="L278" s="29">
        <f>Datos_Ventas!G278</f>
        <v>62050</v>
      </c>
      <c r="M278" s="29">
        <f>J278*INDEX(Productos!$D$2:$D$11,MATCH(Datos_Ventas!D278,Productos!$A$2:$A$11,0))</f>
        <v>37400</v>
      </c>
      <c r="N278" s="29">
        <f t="shared" si="18"/>
        <v>24650</v>
      </c>
      <c r="O278" s="30">
        <f>K278/INDEX(Productos!$E$2:$E$11,MATCH(Datos_Ventas!D278,Productos!$A$2:$A$11,0))-1</f>
        <v>-6.4102564102564097E-2</v>
      </c>
      <c r="P278">
        <f t="shared" si="19"/>
        <v>1</v>
      </c>
    </row>
    <row r="279" spans="1:16" x14ac:dyDescent="0.2">
      <c r="A279">
        <f>Datos_Ventas!A279</f>
        <v>297</v>
      </c>
      <c r="B279" s="13">
        <f>Datos_Ventas!B279</f>
        <v>46220</v>
      </c>
      <c r="C279" t="str">
        <f t="shared" si="16"/>
        <v>07 Jul</v>
      </c>
      <c r="D279" t="str">
        <f t="shared" si="17"/>
        <v>T3</v>
      </c>
      <c r="E279" t="str">
        <f>INDEX(Productos!$B$2:$B$11,MATCH(Datos_Ventas!D279,Productos!$A$2:$A$11,0))</f>
        <v>Collar Ajustable</v>
      </c>
      <c r="F279" t="str">
        <f>INDEX(Productos!$C$2:$C$11,MATCH(Datos_Ventas!D279,Productos!$A$2:$A$11,0))</f>
        <v>Accesorios</v>
      </c>
      <c r="G279" t="str">
        <f>INDEX(Clientes!$B$2:$B$11,MATCH(Datos_Ventas!C279,Clientes!$A$2:$A$11,0))</f>
        <v>Autoservicio Norte</v>
      </c>
      <c r="H279" t="str">
        <f>INDEX(Clientes!$C$2:$C$11,MATCH(Datos_Ventas!C279,Clientes!$A$2:$A$11,0))</f>
        <v>Retail</v>
      </c>
      <c r="I279" t="str">
        <f>INDEX(Clientes!$D$2:$D$11,MATCH(Datos_Ventas!C279,Clientes!$A$2:$A$11,0))</f>
        <v>Las Heras</v>
      </c>
      <c r="J279">
        <f>Datos_Ventas!E279</f>
        <v>13</v>
      </c>
      <c r="K279" s="29">
        <f>Datos_Ventas!F279</f>
        <v>3820</v>
      </c>
      <c r="L279" s="29">
        <f>Datos_Ventas!G279</f>
        <v>49660</v>
      </c>
      <c r="M279" s="29">
        <f>J279*INDEX(Productos!$D$2:$D$11,MATCH(Datos_Ventas!D279,Productos!$A$2:$A$11,0))</f>
        <v>24700</v>
      </c>
      <c r="N279" s="29">
        <f t="shared" si="18"/>
        <v>24960</v>
      </c>
      <c r="O279" s="30">
        <f>K279/INDEX(Productos!$E$2:$E$11,MATCH(Datos_Ventas!D279,Productos!$A$2:$A$11,0))-1</f>
        <v>6.1111111111111116E-2</v>
      </c>
      <c r="P279">
        <f t="shared" si="19"/>
        <v>1</v>
      </c>
    </row>
    <row r="280" spans="1:16" x14ac:dyDescent="0.2">
      <c r="A280">
        <f>Datos_Ventas!A280</f>
        <v>298</v>
      </c>
      <c r="B280" s="13">
        <f>Datos_Ventas!B280</f>
        <v>46220</v>
      </c>
      <c r="C280" t="str">
        <f t="shared" si="16"/>
        <v>07 Jul</v>
      </c>
      <c r="D280" t="str">
        <f t="shared" si="17"/>
        <v>T3</v>
      </c>
      <c r="E280" t="str">
        <f>INDEX(Productos!$B$2:$B$11,MATCH(Datos_Ventas!D280,Productos!$A$2:$A$11,0))</f>
        <v>Snack Dental</v>
      </c>
      <c r="F280" t="str">
        <f>INDEX(Productos!$C$2:$C$11,MATCH(Datos_Ventas!D280,Productos!$A$2:$A$11,0))</f>
        <v>Snacks</v>
      </c>
      <c r="G280" t="str">
        <f>INDEX(Clientes!$B$2:$B$11,MATCH(Datos_Ventas!C280,Clientes!$A$2:$A$11,0))</f>
        <v>Despensa Vero</v>
      </c>
      <c r="H280" t="str">
        <f>INDEX(Clientes!$C$2:$C$11,MATCH(Datos_Ventas!C280,Clientes!$A$2:$A$11,0))</f>
        <v>Minorista</v>
      </c>
      <c r="I280" t="str">
        <f>INDEX(Clientes!$D$2:$D$11,MATCH(Datos_Ventas!C280,Clientes!$A$2:$A$11,0))</f>
        <v>Mendoza</v>
      </c>
      <c r="J280">
        <f>Datos_Ventas!E280</f>
        <v>23</v>
      </c>
      <c r="K280" s="29">
        <f>Datos_Ventas!F280</f>
        <v>3270</v>
      </c>
      <c r="L280" s="29">
        <f>Datos_Ventas!G280</f>
        <v>75210</v>
      </c>
      <c r="M280" s="29">
        <f>J280*INDEX(Productos!$D$2:$D$11,MATCH(Datos_Ventas!D280,Productos!$A$2:$A$11,0))</f>
        <v>41400</v>
      </c>
      <c r="N280" s="29">
        <f t="shared" si="18"/>
        <v>33810</v>
      </c>
      <c r="O280" s="30">
        <f>K280/INDEX(Productos!$E$2:$E$11,MATCH(Datos_Ventas!D280,Productos!$A$2:$A$11,0))-1</f>
        <v>2.1875000000000089E-2</v>
      </c>
      <c r="P280">
        <f t="shared" si="19"/>
        <v>1</v>
      </c>
    </row>
    <row r="281" spans="1:16" x14ac:dyDescent="0.2">
      <c r="A281">
        <f>Datos_Ventas!A281</f>
        <v>299</v>
      </c>
      <c r="B281" s="13">
        <f>Datos_Ventas!B281</f>
        <v>46220</v>
      </c>
      <c r="C281" t="str">
        <f t="shared" si="16"/>
        <v>07 Jul</v>
      </c>
      <c r="D281" t="str">
        <f t="shared" si="17"/>
        <v>T3</v>
      </c>
      <c r="E281" t="str">
        <f>INDEX(Productos!$B$2:$B$11,MATCH(Datos_Ventas!D281,Productos!$A$2:$A$11,0))</f>
        <v>Galletas Perro</v>
      </c>
      <c r="F281" t="str">
        <f>INDEX(Productos!$C$2:$C$11,MATCH(Datos_Ventas!D281,Productos!$A$2:$A$11,0))</f>
        <v>Snacks</v>
      </c>
      <c r="G281" t="str">
        <f>INDEX(Clientes!$B$2:$B$11,MATCH(Datos_Ventas!C281,Clientes!$A$2:$A$11,0))</f>
        <v>Despensa Vero</v>
      </c>
      <c r="H281" t="str">
        <f>INDEX(Clientes!$C$2:$C$11,MATCH(Datos_Ventas!C281,Clientes!$A$2:$A$11,0))</f>
        <v>Minorista</v>
      </c>
      <c r="I281" t="str">
        <f>INDEX(Clientes!$D$2:$D$11,MATCH(Datos_Ventas!C281,Clientes!$A$2:$A$11,0))</f>
        <v>Mendoza</v>
      </c>
      <c r="J281">
        <f>Datos_Ventas!E281</f>
        <v>18</v>
      </c>
      <c r="K281" s="29">
        <f>Datos_Ventas!F281</f>
        <v>2880</v>
      </c>
      <c r="L281" s="29">
        <f>Datos_Ventas!G281</f>
        <v>51840</v>
      </c>
      <c r="M281" s="29">
        <f>J281*INDEX(Productos!$D$2:$D$11,MATCH(Datos_Ventas!D281,Productos!$A$2:$A$11,0))</f>
        <v>27000</v>
      </c>
      <c r="N281" s="29">
        <f t="shared" si="18"/>
        <v>24840</v>
      </c>
      <c r="O281" s="30">
        <f>K281/INDEX(Productos!$E$2:$E$11,MATCH(Datos_Ventas!D281,Productos!$A$2:$A$11,0))-1</f>
        <v>6.6666666666666652E-2</v>
      </c>
      <c r="P281">
        <f t="shared" si="19"/>
        <v>1</v>
      </c>
    </row>
    <row r="282" spans="1:16" x14ac:dyDescent="0.2">
      <c r="A282">
        <f>Datos_Ventas!A282</f>
        <v>300</v>
      </c>
      <c r="B282" s="13">
        <f>Datos_Ventas!B282</f>
        <v>46222</v>
      </c>
      <c r="C282" t="str">
        <f t="shared" si="16"/>
        <v>07 Jul</v>
      </c>
      <c r="D282" t="str">
        <f t="shared" si="17"/>
        <v>T3</v>
      </c>
      <c r="E282" t="str">
        <f>INDEX(Productos!$B$2:$B$11,MATCH(Datos_Ventas!D282,Productos!$A$2:$A$11,0))</f>
        <v>Alimento Premium 10kg</v>
      </c>
      <c r="F282" t="str">
        <f>INDEX(Productos!$C$2:$C$11,MATCH(Datos_Ventas!D282,Productos!$A$2:$A$11,0))</f>
        <v>Alimentos</v>
      </c>
      <c r="G282" t="str">
        <f>INDEX(Clientes!$B$2:$B$11,MATCH(Datos_Ventas!C282,Clientes!$A$2:$A$11,0))</f>
        <v>Supermercado Cuyo</v>
      </c>
      <c r="H282" t="str">
        <f>INDEX(Clientes!$C$2:$C$11,MATCH(Datos_Ventas!C282,Clientes!$A$2:$A$11,0))</f>
        <v>Retail</v>
      </c>
      <c r="I282" t="str">
        <f>INDEX(Clientes!$D$2:$D$11,MATCH(Datos_Ventas!C282,Clientes!$A$2:$A$11,0))</f>
        <v>Guaymallén</v>
      </c>
      <c r="J282">
        <f>Datos_Ventas!E282</f>
        <v>9</v>
      </c>
      <c r="K282" s="29">
        <f>Datos_Ventas!F282</f>
        <v>19250</v>
      </c>
      <c r="L282" s="29">
        <f>Datos_Ventas!G282</f>
        <v>173250</v>
      </c>
      <c r="M282" s="29">
        <f>J282*INDEX(Productos!$D$2:$D$11,MATCH(Datos_Ventas!D282,Productos!$A$2:$A$11,0))</f>
        <v>112500</v>
      </c>
      <c r="N282" s="29">
        <f t="shared" si="18"/>
        <v>60750</v>
      </c>
      <c r="O282" s="30">
        <f>K282/INDEX(Productos!$E$2:$E$11,MATCH(Datos_Ventas!D282,Productos!$A$2:$A$11,0))-1</f>
        <v>1.8518518518518601E-2</v>
      </c>
      <c r="P282">
        <f t="shared" si="19"/>
        <v>1</v>
      </c>
    </row>
    <row r="283" spans="1:16" x14ac:dyDescent="0.2">
      <c r="A283">
        <f>Datos_Ventas!A283</f>
        <v>301</v>
      </c>
      <c r="B283" s="13">
        <f>Datos_Ventas!B283</f>
        <v>46222</v>
      </c>
      <c r="C283" t="str">
        <f t="shared" si="16"/>
        <v>07 Jul</v>
      </c>
      <c r="D283" t="str">
        <f t="shared" si="17"/>
        <v>T3</v>
      </c>
      <c r="E283" t="str">
        <f>INDEX(Productos!$B$2:$B$11,MATCH(Datos_Ventas!D283,Productos!$A$2:$A$11,0))</f>
        <v>Arena Sanitaria</v>
      </c>
      <c r="F283" t="str">
        <f>INDEX(Productos!$C$2:$C$11,MATCH(Datos_Ventas!D283,Productos!$A$2:$A$11,0))</f>
        <v>Higiene</v>
      </c>
      <c r="G283" t="str">
        <f>INDEX(Clientes!$B$2:$B$11,MATCH(Datos_Ventas!C283,Clientes!$A$2:$A$11,0))</f>
        <v>Despensa Vero</v>
      </c>
      <c r="H283" t="str">
        <f>INDEX(Clientes!$C$2:$C$11,MATCH(Datos_Ventas!C283,Clientes!$A$2:$A$11,0))</f>
        <v>Minorista</v>
      </c>
      <c r="I283" t="str">
        <f>INDEX(Clientes!$D$2:$D$11,MATCH(Datos_Ventas!C283,Clientes!$A$2:$A$11,0))</f>
        <v>Mendoza</v>
      </c>
      <c r="J283">
        <f>Datos_Ventas!E283</f>
        <v>11</v>
      </c>
      <c r="K283" s="29">
        <f>Datos_Ventas!F283</f>
        <v>4460</v>
      </c>
      <c r="L283" s="29">
        <f>Datos_Ventas!G283</f>
        <v>49060</v>
      </c>
      <c r="M283" s="29">
        <f>J283*INDEX(Productos!$D$2:$D$11,MATCH(Datos_Ventas!D283,Productos!$A$2:$A$11,0))</f>
        <v>28600</v>
      </c>
      <c r="N283" s="29">
        <f t="shared" si="18"/>
        <v>20460</v>
      </c>
      <c r="O283" s="30">
        <f>K283/INDEX(Productos!$E$2:$E$11,MATCH(Datos_Ventas!D283,Productos!$A$2:$A$11,0))-1</f>
        <v>1.3636363636363669E-2</v>
      </c>
      <c r="P283">
        <f t="shared" si="19"/>
        <v>1</v>
      </c>
    </row>
    <row r="284" spans="1:16" x14ac:dyDescent="0.2">
      <c r="A284">
        <f>Datos_Ventas!A284</f>
        <v>302</v>
      </c>
      <c r="B284" s="13">
        <f>Datos_Ventas!B284</f>
        <v>46222</v>
      </c>
      <c r="C284" t="str">
        <f t="shared" si="16"/>
        <v>07 Jul</v>
      </c>
      <c r="D284" t="str">
        <f t="shared" si="17"/>
        <v>T3</v>
      </c>
      <c r="E284" t="str">
        <f>INDEX(Productos!$B$2:$B$11,MATCH(Datos_Ventas!D284,Productos!$A$2:$A$11,0))</f>
        <v>Juguete Pelota</v>
      </c>
      <c r="F284" t="str">
        <f>INDEX(Productos!$C$2:$C$11,MATCH(Datos_Ventas!D284,Productos!$A$2:$A$11,0))</f>
        <v>Accesorios</v>
      </c>
      <c r="G284" t="str">
        <f>INDEX(Clientes!$B$2:$B$11,MATCH(Datos_Ventas!C284,Clientes!$A$2:$A$11,0))</f>
        <v>Kiosco La Esquina</v>
      </c>
      <c r="H284" t="str">
        <f>INDEX(Clientes!$C$2:$C$11,MATCH(Datos_Ventas!C284,Clientes!$A$2:$A$11,0))</f>
        <v>Minorista</v>
      </c>
      <c r="I284" t="str">
        <f>INDEX(Clientes!$D$2:$D$11,MATCH(Datos_Ventas!C284,Clientes!$A$2:$A$11,0))</f>
        <v>Godoy Cruz</v>
      </c>
      <c r="J284">
        <f>Datos_Ventas!E284</f>
        <v>20</v>
      </c>
      <c r="K284" s="29">
        <f>Datos_Ventas!F284</f>
        <v>1890</v>
      </c>
      <c r="L284" s="29">
        <f>Datos_Ventas!G284</f>
        <v>37800</v>
      </c>
      <c r="M284" s="29">
        <f>J284*INDEX(Productos!$D$2:$D$11,MATCH(Datos_Ventas!D284,Productos!$A$2:$A$11,0))</f>
        <v>18000</v>
      </c>
      <c r="N284" s="29">
        <f t="shared" si="18"/>
        <v>19800</v>
      </c>
      <c r="O284" s="30">
        <f>K284/INDEX(Productos!$E$2:$E$11,MATCH(Datos_Ventas!D284,Productos!$A$2:$A$11,0))-1</f>
        <v>5.0000000000000044E-2</v>
      </c>
      <c r="P284">
        <f t="shared" si="19"/>
        <v>1</v>
      </c>
    </row>
    <row r="285" spans="1:16" x14ac:dyDescent="0.2">
      <c r="A285">
        <f>Datos_Ventas!A285</f>
        <v>303</v>
      </c>
      <c r="B285" s="13">
        <f>Datos_Ventas!B285</f>
        <v>46222</v>
      </c>
      <c r="C285" t="str">
        <f t="shared" si="16"/>
        <v>07 Jul</v>
      </c>
      <c r="D285" t="str">
        <f t="shared" si="17"/>
        <v>T3</v>
      </c>
      <c r="E285" t="str">
        <f>INDEX(Productos!$B$2:$B$11,MATCH(Datos_Ventas!D285,Productos!$A$2:$A$11,0))</f>
        <v>Snack Dental</v>
      </c>
      <c r="F285" t="str">
        <f>INDEX(Productos!$C$2:$C$11,MATCH(Datos_Ventas!D285,Productos!$A$2:$A$11,0))</f>
        <v>Snacks</v>
      </c>
      <c r="G285" t="str">
        <f>INDEX(Clientes!$B$2:$B$11,MATCH(Datos_Ventas!C285,Clientes!$A$2:$A$11,0))</f>
        <v>Despensa Vero</v>
      </c>
      <c r="H285" t="str">
        <f>INDEX(Clientes!$C$2:$C$11,MATCH(Datos_Ventas!C285,Clientes!$A$2:$A$11,0))</f>
        <v>Minorista</v>
      </c>
      <c r="I285" t="str">
        <f>INDEX(Clientes!$D$2:$D$11,MATCH(Datos_Ventas!C285,Clientes!$A$2:$A$11,0))</f>
        <v>Mendoza</v>
      </c>
      <c r="J285">
        <f>Datos_Ventas!E285</f>
        <v>8</v>
      </c>
      <c r="K285" s="29">
        <f>Datos_Ventas!F285</f>
        <v>3400</v>
      </c>
      <c r="L285" s="29">
        <f>Datos_Ventas!G285</f>
        <v>27200</v>
      </c>
      <c r="M285" s="29">
        <f>J285*INDEX(Productos!$D$2:$D$11,MATCH(Datos_Ventas!D285,Productos!$A$2:$A$11,0))</f>
        <v>14400</v>
      </c>
      <c r="N285" s="29">
        <f t="shared" si="18"/>
        <v>12800</v>
      </c>
      <c r="O285" s="30">
        <f>K285/INDEX(Productos!$E$2:$E$11,MATCH(Datos_Ventas!D285,Productos!$A$2:$A$11,0))-1</f>
        <v>6.25E-2</v>
      </c>
      <c r="P285">
        <f t="shared" si="19"/>
        <v>1</v>
      </c>
    </row>
    <row r="286" spans="1:16" x14ac:dyDescent="0.2">
      <c r="A286">
        <f>Datos_Ventas!A286</f>
        <v>304</v>
      </c>
      <c r="B286" s="13">
        <f>Datos_Ventas!B286</f>
        <v>46224</v>
      </c>
      <c r="C286" t="str">
        <f t="shared" si="16"/>
        <v>07 Jul</v>
      </c>
      <c r="D286" t="str">
        <f t="shared" si="17"/>
        <v>T3</v>
      </c>
      <c r="E286" t="str">
        <f>INDEX(Productos!$B$2:$B$11,MATCH(Datos_Ventas!D286,Productos!$A$2:$A$11,0))</f>
        <v>Juguete Pelota</v>
      </c>
      <c r="F286" t="str">
        <f>INDEX(Productos!$C$2:$C$11,MATCH(Datos_Ventas!D286,Productos!$A$2:$A$11,0))</f>
        <v>Accesorios</v>
      </c>
      <c r="G286" t="str">
        <f>INDEX(Clientes!$B$2:$B$11,MATCH(Datos_Ventas!C286,Clientes!$A$2:$A$11,0))</f>
        <v>Despensa Vero</v>
      </c>
      <c r="H286" t="str">
        <f>INDEX(Clientes!$C$2:$C$11,MATCH(Datos_Ventas!C286,Clientes!$A$2:$A$11,0))</f>
        <v>Minorista</v>
      </c>
      <c r="I286" t="str">
        <f>INDEX(Clientes!$D$2:$D$11,MATCH(Datos_Ventas!C286,Clientes!$A$2:$A$11,0))</f>
        <v>Mendoza</v>
      </c>
      <c r="J286">
        <f>Datos_Ventas!E286</f>
        <v>29</v>
      </c>
      <c r="K286" s="29">
        <f>Datos_Ventas!F286</f>
        <v>1930</v>
      </c>
      <c r="L286" s="29">
        <f>Datos_Ventas!G286</f>
        <v>55970</v>
      </c>
      <c r="M286" s="29">
        <f>J286*INDEX(Productos!$D$2:$D$11,MATCH(Datos_Ventas!D286,Productos!$A$2:$A$11,0))</f>
        <v>26100</v>
      </c>
      <c r="N286" s="29">
        <f t="shared" si="18"/>
        <v>29870</v>
      </c>
      <c r="O286" s="30">
        <f>K286/INDEX(Productos!$E$2:$E$11,MATCH(Datos_Ventas!D286,Productos!$A$2:$A$11,0))-1</f>
        <v>7.2222222222222188E-2</v>
      </c>
      <c r="P286">
        <f t="shared" si="19"/>
        <v>1</v>
      </c>
    </row>
    <row r="287" spans="1:16" x14ac:dyDescent="0.2">
      <c r="A287">
        <f>Datos_Ventas!A287</f>
        <v>305</v>
      </c>
      <c r="B287" s="13">
        <f>Datos_Ventas!B287</f>
        <v>46226</v>
      </c>
      <c r="C287" t="str">
        <f t="shared" si="16"/>
        <v>07 Jul</v>
      </c>
      <c r="D287" t="str">
        <f t="shared" si="17"/>
        <v>T3</v>
      </c>
      <c r="E287" t="str">
        <f>INDEX(Productos!$B$2:$B$11,MATCH(Datos_Ventas!D287,Productos!$A$2:$A$11,0))</f>
        <v>Aceite Omega</v>
      </c>
      <c r="F287" t="str">
        <f>INDEX(Productos!$C$2:$C$11,MATCH(Datos_Ventas!D287,Productos!$A$2:$A$11,0))</f>
        <v>Suplementos</v>
      </c>
      <c r="G287" t="str">
        <f>INDEX(Clientes!$B$2:$B$11,MATCH(Datos_Ventas!C287,Clientes!$A$2:$A$11,0))</f>
        <v>Veterinaria Sur</v>
      </c>
      <c r="H287" t="str">
        <f>INDEX(Clientes!$C$2:$C$11,MATCH(Datos_Ventas!C287,Clientes!$A$2:$A$11,0))</f>
        <v>Especializado</v>
      </c>
      <c r="I287" t="str">
        <f>INDEX(Clientes!$D$2:$D$11,MATCH(Datos_Ventas!C287,Clientes!$A$2:$A$11,0))</f>
        <v>Godoy Cruz</v>
      </c>
      <c r="J287">
        <f>Datos_Ventas!E287</f>
        <v>3</v>
      </c>
      <c r="K287" s="29">
        <f>Datos_Ventas!F287</f>
        <v>5330</v>
      </c>
      <c r="L287" s="29">
        <f>Datos_Ventas!G287</f>
        <v>15990</v>
      </c>
      <c r="M287" s="29">
        <f>J287*INDEX(Productos!$D$2:$D$11,MATCH(Datos_Ventas!D287,Productos!$A$2:$A$11,0))</f>
        <v>9300</v>
      </c>
      <c r="N287" s="29">
        <f t="shared" si="18"/>
        <v>6690</v>
      </c>
      <c r="O287" s="30">
        <f>K287/INDEX(Productos!$E$2:$E$11,MATCH(Datos_Ventas!D287,Productos!$A$2:$A$11,0))-1</f>
        <v>-4.8214285714285765E-2</v>
      </c>
      <c r="P287">
        <f t="shared" si="19"/>
        <v>1</v>
      </c>
    </row>
    <row r="288" spans="1:16" x14ac:dyDescent="0.2">
      <c r="A288">
        <f>Datos_Ventas!A288</f>
        <v>307</v>
      </c>
      <c r="B288" s="13">
        <f>Datos_Ventas!B288</f>
        <v>46227</v>
      </c>
      <c r="C288" t="str">
        <f t="shared" si="16"/>
        <v>07 Jul</v>
      </c>
      <c r="D288" t="str">
        <f t="shared" si="17"/>
        <v>T3</v>
      </c>
      <c r="E288" t="str">
        <f>INDEX(Productos!$B$2:$B$11,MATCH(Datos_Ventas!D288,Productos!$A$2:$A$11,0))</f>
        <v>Arena Sanitaria</v>
      </c>
      <c r="F288" t="str">
        <f>INDEX(Productos!$C$2:$C$11,MATCH(Datos_Ventas!D288,Productos!$A$2:$A$11,0))</f>
        <v>Higiene</v>
      </c>
      <c r="G288" t="str">
        <f>INDEX(Clientes!$B$2:$B$11,MATCH(Datos_Ventas!C288,Clientes!$A$2:$A$11,0))</f>
        <v>Mayorista del Sol</v>
      </c>
      <c r="H288" t="str">
        <f>INDEX(Clientes!$C$2:$C$11,MATCH(Datos_Ventas!C288,Clientes!$A$2:$A$11,0))</f>
        <v>Mayorista</v>
      </c>
      <c r="I288" t="str">
        <f>INDEX(Clientes!$D$2:$D$11,MATCH(Datos_Ventas!C288,Clientes!$A$2:$A$11,0))</f>
        <v>San Martín</v>
      </c>
      <c r="J288">
        <f>Datos_Ventas!E288</f>
        <v>24</v>
      </c>
      <c r="K288" s="29">
        <f>Datos_Ventas!F288</f>
        <v>4680</v>
      </c>
      <c r="L288" s="29">
        <f>Datos_Ventas!G288</f>
        <v>112320</v>
      </c>
      <c r="M288" s="29">
        <f>J288*INDEX(Productos!$D$2:$D$11,MATCH(Datos_Ventas!D288,Productos!$A$2:$A$11,0))</f>
        <v>62400</v>
      </c>
      <c r="N288" s="29">
        <f t="shared" si="18"/>
        <v>49920</v>
      </c>
      <c r="O288" s="30">
        <f>K288/INDEX(Productos!$E$2:$E$11,MATCH(Datos_Ventas!D288,Productos!$A$2:$A$11,0))-1</f>
        <v>6.3636363636363713E-2</v>
      </c>
      <c r="P288">
        <f t="shared" si="19"/>
        <v>1</v>
      </c>
    </row>
    <row r="289" spans="1:16" x14ac:dyDescent="0.2">
      <c r="A289">
        <f>Datos_Ventas!A289</f>
        <v>308</v>
      </c>
      <c r="B289" s="13">
        <f>Datos_Ventas!B289</f>
        <v>46229</v>
      </c>
      <c r="C289" t="str">
        <f t="shared" si="16"/>
        <v>07 Jul</v>
      </c>
      <c r="D289" t="str">
        <f t="shared" si="17"/>
        <v>T3</v>
      </c>
      <c r="E289" t="str">
        <f>INDEX(Productos!$B$2:$B$11,MATCH(Datos_Ventas!D289,Productos!$A$2:$A$11,0))</f>
        <v>Juguete Pelota</v>
      </c>
      <c r="F289" t="str">
        <f>INDEX(Productos!$C$2:$C$11,MATCH(Datos_Ventas!D289,Productos!$A$2:$A$11,0))</f>
        <v>Accesorios</v>
      </c>
      <c r="G289" t="str">
        <f>INDEX(Clientes!$B$2:$B$11,MATCH(Datos_Ventas!C289,Clientes!$A$2:$A$11,0))</f>
        <v>Almacén Don Pedro</v>
      </c>
      <c r="H289" t="str">
        <f>INDEX(Clientes!$C$2:$C$11,MATCH(Datos_Ventas!C289,Clientes!$A$2:$A$11,0))</f>
        <v>Minorista</v>
      </c>
      <c r="I289" t="str">
        <f>INDEX(Clientes!$D$2:$D$11,MATCH(Datos_Ventas!C289,Clientes!$A$2:$A$11,0))</f>
        <v>Maipú</v>
      </c>
      <c r="J289">
        <f>Datos_Ventas!E289</f>
        <v>15</v>
      </c>
      <c r="K289" s="29">
        <f>Datos_Ventas!F289</f>
        <v>1680</v>
      </c>
      <c r="L289" s="29">
        <f>Datos_Ventas!G289</f>
        <v>25200</v>
      </c>
      <c r="M289" s="29">
        <f>J289*INDEX(Productos!$D$2:$D$11,MATCH(Datos_Ventas!D289,Productos!$A$2:$A$11,0))</f>
        <v>13500</v>
      </c>
      <c r="N289" s="29">
        <f t="shared" si="18"/>
        <v>11700</v>
      </c>
      <c r="O289" s="30">
        <f>K289/INDEX(Productos!$E$2:$E$11,MATCH(Datos_Ventas!D289,Productos!$A$2:$A$11,0))-1</f>
        <v>-6.6666666666666652E-2</v>
      </c>
      <c r="P289">
        <f t="shared" si="19"/>
        <v>1</v>
      </c>
    </row>
    <row r="290" spans="1:16" x14ac:dyDescent="0.2">
      <c r="A290">
        <f>Datos_Ventas!A290</f>
        <v>309</v>
      </c>
      <c r="B290" s="13">
        <f>Datos_Ventas!B290</f>
        <v>46230</v>
      </c>
      <c r="C290" t="str">
        <f t="shared" si="16"/>
        <v>07 Jul</v>
      </c>
      <c r="D290" t="str">
        <f t="shared" si="17"/>
        <v>T3</v>
      </c>
      <c r="E290" t="str">
        <f>INDEX(Productos!$B$2:$B$11,MATCH(Datos_Ventas!D290,Productos!$A$2:$A$11,0))</f>
        <v>Galletas Perro</v>
      </c>
      <c r="F290" t="str">
        <f>INDEX(Productos!$C$2:$C$11,MATCH(Datos_Ventas!D290,Productos!$A$2:$A$11,0))</f>
        <v>Snacks</v>
      </c>
      <c r="G290" t="str">
        <f>INDEX(Clientes!$B$2:$B$11,MATCH(Datos_Ventas!C290,Clientes!$A$2:$A$11,0))</f>
        <v>Distribuidora Andes</v>
      </c>
      <c r="H290" t="str">
        <f>INDEX(Clientes!$C$2:$C$11,MATCH(Datos_Ventas!C290,Clientes!$A$2:$A$11,0))</f>
        <v>Mayorista</v>
      </c>
      <c r="I290" t="str">
        <f>INDEX(Clientes!$D$2:$D$11,MATCH(Datos_Ventas!C290,Clientes!$A$2:$A$11,0))</f>
        <v>Mendoza</v>
      </c>
      <c r="J290">
        <f>Datos_Ventas!E290</f>
        <v>39</v>
      </c>
      <c r="K290" s="29">
        <f>Datos_Ventas!F290</f>
        <v>2630</v>
      </c>
      <c r="L290" s="29">
        <f>Datos_Ventas!G290</f>
        <v>102570</v>
      </c>
      <c r="M290" s="29">
        <f>J290*INDEX(Productos!$D$2:$D$11,MATCH(Datos_Ventas!D290,Productos!$A$2:$A$11,0))</f>
        <v>58500</v>
      </c>
      <c r="N290" s="29">
        <f t="shared" si="18"/>
        <v>44070</v>
      </c>
      <c r="O290" s="30">
        <f>K290/INDEX(Productos!$E$2:$E$11,MATCH(Datos_Ventas!D290,Productos!$A$2:$A$11,0))-1</f>
        <v>-2.5925925925925908E-2</v>
      </c>
      <c r="P290">
        <f t="shared" si="19"/>
        <v>1</v>
      </c>
    </row>
    <row r="291" spans="1:16" x14ac:dyDescent="0.2">
      <c r="A291">
        <f>Datos_Ventas!A291</f>
        <v>310</v>
      </c>
      <c r="B291" s="13">
        <f>Datos_Ventas!B291</f>
        <v>46230</v>
      </c>
      <c r="C291" t="str">
        <f t="shared" si="16"/>
        <v>07 Jul</v>
      </c>
      <c r="D291" t="str">
        <f t="shared" si="17"/>
        <v>T3</v>
      </c>
      <c r="E291" t="str">
        <f>INDEX(Productos!$B$2:$B$11,MATCH(Datos_Ventas!D291,Productos!$A$2:$A$11,0))</f>
        <v>Alimento Balanceado 15kg</v>
      </c>
      <c r="F291" t="str">
        <f>INDEX(Productos!$C$2:$C$11,MATCH(Datos_Ventas!D291,Productos!$A$2:$A$11,0))</f>
        <v>Alimentos</v>
      </c>
      <c r="G291" t="str">
        <f>INDEX(Clientes!$B$2:$B$11,MATCH(Datos_Ventas!C291,Clientes!$A$2:$A$11,0))</f>
        <v>Autoservicio Norte</v>
      </c>
      <c r="H291" t="str">
        <f>INDEX(Clientes!$C$2:$C$11,MATCH(Datos_Ventas!C291,Clientes!$A$2:$A$11,0))</f>
        <v>Retail</v>
      </c>
      <c r="I291" t="str">
        <f>INDEX(Clientes!$D$2:$D$11,MATCH(Datos_Ventas!C291,Clientes!$A$2:$A$11,0))</f>
        <v>Las Heras</v>
      </c>
      <c r="J291">
        <f>Datos_Ventas!E291</f>
        <v>8</v>
      </c>
      <c r="K291" s="29">
        <f>Datos_Ventas!F291</f>
        <v>15290</v>
      </c>
      <c r="L291" s="29">
        <f>Datos_Ventas!G291</f>
        <v>122320</v>
      </c>
      <c r="M291" s="29">
        <f>J291*INDEX(Productos!$D$2:$D$11,MATCH(Datos_Ventas!D291,Productos!$A$2:$A$11,0))</f>
        <v>78400</v>
      </c>
      <c r="N291" s="29">
        <f t="shared" si="18"/>
        <v>43920</v>
      </c>
      <c r="O291" s="30">
        <f>K291/INDEX(Productos!$E$2:$E$11,MATCH(Datos_Ventas!D291,Productos!$A$2:$A$11,0))-1</f>
        <v>5.4482758620689742E-2</v>
      </c>
      <c r="P291">
        <f t="shared" si="19"/>
        <v>1</v>
      </c>
    </row>
    <row r="292" spans="1:16" x14ac:dyDescent="0.2">
      <c r="A292">
        <f>Datos_Ventas!A292</f>
        <v>311</v>
      </c>
      <c r="B292" s="13">
        <f>Datos_Ventas!B292</f>
        <v>46230</v>
      </c>
      <c r="C292" t="str">
        <f t="shared" si="16"/>
        <v>07 Jul</v>
      </c>
      <c r="D292" t="str">
        <f t="shared" si="17"/>
        <v>T3</v>
      </c>
      <c r="E292" t="str">
        <f>INDEX(Productos!$B$2:$B$11,MATCH(Datos_Ventas!D292,Productos!$A$2:$A$11,0))</f>
        <v>Correa Reforzada</v>
      </c>
      <c r="F292" t="str">
        <f>INDEX(Productos!$C$2:$C$11,MATCH(Datos_Ventas!D292,Productos!$A$2:$A$11,0))</f>
        <v>Accesorios</v>
      </c>
      <c r="G292" t="str">
        <f>INDEX(Clientes!$B$2:$B$11,MATCH(Datos_Ventas!C292,Clientes!$A$2:$A$11,0))</f>
        <v>Almacén Don Pedro</v>
      </c>
      <c r="H292" t="str">
        <f>INDEX(Clientes!$C$2:$C$11,MATCH(Datos_Ventas!C292,Clientes!$A$2:$A$11,0))</f>
        <v>Minorista</v>
      </c>
      <c r="I292" t="str">
        <f>INDEX(Clientes!$D$2:$D$11,MATCH(Datos_Ventas!C292,Clientes!$A$2:$A$11,0))</f>
        <v>Maipú</v>
      </c>
      <c r="J292">
        <f>Datos_Ventas!E292</f>
        <v>38</v>
      </c>
      <c r="K292" s="29">
        <f>Datos_Ventas!F292</f>
        <v>5330</v>
      </c>
      <c r="L292" s="29">
        <f>Datos_Ventas!G292</f>
        <v>202540</v>
      </c>
      <c r="M292" s="29">
        <f>J292*INDEX(Productos!$D$2:$D$11,MATCH(Datos_Ventas!D292,Productos!$A$2:$A$11,0))</f>
        <v>106400</v>
      </c>
      <c r="N292" s="29">
        <f t="shared" si="18"/>
        <v>96140</v>
      </c>
      <c r="O292" s="30">
        <f>K292/INDEX(Productos!$E$2:$E$11,MATCH(Datos_Ventas!D292,Productos!$A$2:$A$11,0))-1</f>
        <v>2.4999999999999911E-2</v>
      </c>
      <c r="P292">
        <f t="shared" si="19"/>
        <v>1</v>
      </c>
    </row>
    <row r="293" spans="1:16" x14ac:dyDescent="0.2">
      <c r="A293">
        <f>Datos_Ventas!A293</f>
        <v>312</v>
      </c>
      <c r="B293" s="13">
        <f>Datos_Ventas!B293</f>
        <v>46230</v>
      </c>
      <c r="C293" t="str">
        <f t="shared" si="16"/>
        <v>07 Jul</v>
      </c>
      <c r="D293" t="str">
        <f t="shared" si="17"/>
        <v>T3</v>
      </c>
      <c r="E293" t="str">
        <f>INDEX(Productos!$B$2:$B$11,MATCH(Datos_Ventas!D293,Productos!$A$2:$A$11,0))</f>
        <v>Juguete Pelota</v>
      </c>
      <c r="F293" t="str">
        <f>INDEX(Productos!$C$2:$C$11,MATCH(Datos_Ventas!D293,Productos!$A$2:$A$11,0))</f>
        <v>Accesorios</v>
      </c>
      <c r="G293" t="str">
        <f>INDEX(Clientes!$B$2:$B$11,MATCH(Datos_Ventas!C293,Clientes!$A$2:$A$11,0))</f>
        <v>Autoservicio Norte</v>
      </c>
      <c r="H293" t="str">
        <f>INDEX(Clientes!$C$2:$C$11,MATCH(Datos_Ventas!C293,Clientes!$A$2:$A$11,0))</f>
        <v>Retail</v>
      </c>
      <c r="I293" t="str">
        <f>INDEX(Clientes!$D$2:$D$11,MATCH(Datos_Ventas!C293,Clientes!$A$2:$A$11,0))</f>
        <v>Las Heras</v>
      </c>
      <c r="J293">
        <f>Datos_Ventas!E293</f>
        <v>4</v>
      </c>
      <c r="K293" s="29">
        <f>Datos_Ventas!F293</f>
        <v>1870</v>
      </c>
      <c r="L293" s="29">
        <f>Datos_Ventas!G293</f>
        <v>7480</v>
      </c>
      <c r="M293" s="29">
        <f>J293*INDEX(Productos!$D$2:$D$11,MATCH(Datos_Ventas!D293,Productos!$A$2:$A$11,0))</f>
        <v>3600</v>
      </c>
      <c r="N293" s="29">
        <f t="shared" si="18"/>
        <v>3880</v>
      </c>
      <c r="O293" s="30">
        <f>K293/INDEX(Productos!$E$2:$E$11,MATCH(Datos_Ventas!D293,Productos!$A$2:$A$11,0))-1</f>
        <v>3.8888888888888973E-2</v>
      </c>
      <c r="P293">
        <f t="shared" si="19"/>
        <v>1</v>
      </c>
    </row>
    <row r="294" spans="1:16" x14ac:dyDescent="0.2">
      <c r="A294">
        <f>Datos_Ventas!A294</f>
        <v>313</v>
      </c>
      <c r="B294" s="13">
        <f>Datos_Ventas!B294</f>
        <v>46231</v>
      </c>
      <c r="C294" t="str">
        <f t="shared" si="16"/>
        <v>07 Jul</v>
      </c>
      <c r="D294" t="str">
        <f t="shared" si="17"/>
        <v>T3</v>
      </c>
      <c r="E294" t="str">
        <f>INDEX(Productos!$B$2:$B$11,MATCH(Datos_Ventas!D294,Productos!$A$2:$A$11,0))</f>
        <v>Galletas Perro</v>
      </c>
      <c r="F294" t="str">
        <f>INDEX(Productos!$C$2:$C$11,MATCH(Datos_Ventas!D294,Productos!$A$2:$A$11,0))</f>
        <v>Snacks</v>
      </c>
      <c r="G294" t="str">
        <f>INDEX(Clientes!$B$2:$B$11,MATCH(Datos_Ventas!C294,Clientes!$A$2:$A$11,0))</f>
        <v>Despensa Vero</v>
      </c>
      <c r="H294" t="str">
        <f>INDEX(Clientes!$C$2:$C$11,MATCH(Datos_Ventas!C294,Clientes!$A$2:$A$11,0))</f>
        <v>Minorista</v>
      </c>
      <c r="I294" t="str">
        <f>INDEX(Clientes!$D$2:$D$11,MATCH(Datos_Ventas!C294,Clientes!$A$2:$A$11,0))</f>
        <v>Mendoza</v>
      </c>
      <c r="J294">
        <f>Datos_Ventas!E294</f>
        <v>28</v>
      </c>
      <c r="K294" s="29">
        <f>Datos_Ventas!F294</f>
        <v>2690</v>
      </c>
      <c r="L294" s="29">
        <f>Datos_Ventas!G294</f>
        <v>75320</v>
      </c>
      <c r="M294" s="29">
        <f>J294*INDEX(Productos!$D$2:$D$11,MATCH(Datos_Ventas!D294,Productos!$A$2:$A$11,0))</f>
        <v>42000</v>
      </c>
      <c r="N294" s="29">
        <f t="shared" si="18"/>
        <v>33320</v>
      </c>
      <c r="O294" s="30">
        <f>K294/INDEX(Productos!$E$2:$E$11,MATCH(Datos_Ventas!D294,Productos!$A$2:$A$11,0))-1</f>
        <v>-3.7037037037036535E-3</v>
      </c>
      <c r="P294">
        <f t="shared" si="19"/>
        <v>1</v>
      </c>
    </row>
    <row r="295" spans="1:16" x14ac:dyDescent="0.2">
      <c r="A295">
        <f>Datos_Ventas!A295</f>
        <v>314</v>
      </c>
      <c r="B295" s="13">
        <f>Datos_Ventas!B295</f>
        <v>46231</v>
      </c>
      <c r="C295" t="str">
        <f t="shared" si="16"/>
        <v>07 Jul</v>
      </c>
      <c r="D295" t="str">
        <f t="shared" si="17"/>
        <v>T3</v>
      </c>
      <c r="E295" t="str">
        <f>INDEX(Productos!$B$2:$B$11,MATCH(Datos_Ventas!D295,Productos!$A$2:$A$11,0))</f>
        <v>Alimento Premium 10kg</v>
      </c>
      <c r="F295" t="str">
        <f>INDEX(Productos!$C$2:$C$11,MATCH(Datos_Ventas!D295,Productos!$A$2:$A$11,0))</f>
        <v>Alimentos</v>
      </c>
      <c r="G295" t="str">
        <f>INDEX(Clientes!$B$2:$B$11,MATCH(Datos_Ventas!C295,Clientes!$A$2:$A$11,0))</f>
        <v>Mayorista del Sol</v>
      </c>
      <c r="H295" t="str">
        <f>INDEX(Clientes!$C$2:$C$11,MATCH(Datos_Ventas!C295,Clientes!$A$2:$A$11,0))</f>
        <v>Mayorista</v>
      </c>
      <c r="I295" t="str">
        <f>INDEX(Clientes!$D$2:$D$11,MATCH(Datos_Ventas!C295,Clientes!$A$2:$A$11,0))</f>
        <v>San Martín</v>
      </c>
      <c r="J295">
        <f>Datos_Ventas!E295</f>
        <v>34</v>
      </c>
      <c r="K295" s="29">
        <f>Datos_Ventas!F295</f>
        <v>18690</v>
      </c>
      <c r="L295" s="29">
        <f>Datos_Ventas!G295</f>
        <v>635460</v>
      </c>
      <c r="M295" s="29">
        <f>J295*INDEX(Productos!$D$2:$D$11,MATCH(Datos_Ventas!D295,Productos!$A$2:$A$11,0))</f>
        <v>425000</v>
      </c>
      <c r="N295" s="29">
        <f t="shared" si="18"/>
        <v>210460</v>
      </c>
      <c r="O295" s="30">
        <f>K295/INDEX(Productos!$E$2:$E$11,MATCH(Datos_Ventas!D295,Productos!$A$2:$A$11,0))-1</f>
        <v>-1.1111111111111072E-2</v>
      </c>
      <c r="P295">
        <f t="shared" si="19"/>
        <v>1</v>
      </c>
    </row>
    <row r="296" spans="1:16" x14ac:dyDescent="0.2">
      <c r="A296">
        <f>Datos_Ventas!A296</f>
        <v>315</v>
      </c>
      <c r="B296" s="13">
        <f>Datos_Ventas!B296</f>
        <v>46232</v>
      </c>
      <c r="C296" t="str">
        <f t="shared" si="16"/>
        <v>07 Jul</v>
      </c>
      <c r="D296" t="str">
        <f t="shared" si="17"/>
        <v>T3</v>
      </c>
      <c r="E296" t="str">
        <f>INDEX(Productos!$B$2:$B$11,MATCH(Datos_Ventas!D296,Productos!$A$2:$A$11,0))</f>
        <v>Snack Dental</v>
      </c>
      <c r="F296" t="str">
        <f>INDEX(Productos!$C$2:$C$11,MATCH(Datos_Ventas!D296,Productos!$A$2:$A$11,0))</f>
        <v>Snacks</v>
      </c>
      <c r="G296" t="str">
        <f>INDEX(Clientes!$B$2:$B$11,MATCH(Datos_Ventas!C296,Clientes!$A$2:$A$11,0))</f>
        <v>Mayorista del Sol</v>
      </c>
      <c r="H296" t="str">
        <f>INDEX(Clientes!$C$2:$C$11,MATCH(Datos_Ventas!C296,Clientes!$A$2:$A$11,0))</f>
        <v>Mayorista</v>
      </c>
      <c r="I296" t="str">
        <f>INDEX(Clientes!$D$2:$D$11,MATCH(Datos_Ventas!C296,Clientes!$A$2:$A$11,0))</f>
        <v>San Martín</v>
      </c>
      <c r="J296">
        <f>Datos_Ventas!E296</f>
        <v>29</v>
      </c>
      <c r="K296" s="29">
        <f>Datos_Ventas!F296</f>
        <v>3440</v>
      </c>
      <c r="L296" s="29">
        <f>Datos_Ventas!G296</f>
        <v>99760</v>
      </c>
      <c r="M296" s="29">
        <f>J296*INDEX(Productos!$D$2:$D$11,MATCH(Datos_Ventas!D296,Productos!$A$2:$A$11,0))</f>
        <v>52200</v>
      </c>
      <c r="N296" s="29">
        <f t="shared" si="18"/>
        <v>47560</v>
      </c>
      <c r="O296" s="30">
        <f>K296/INDEX(Productos!$E$2:$E$11,MATCH(Datos_Ventas!D296,Productos!$A$2:$A$11,0))-1</f>
        <v>7.4999999999999956E-2</v>
      </c>
      <c r="P296">
        <f t="shared" si="19"/>
        <v>1</v>
      </c>
    </row>
    <row r="297" spans="1:16" x14ac:dyDescent="0.2">
      <c r="A297">
        <f>Datos_Ventas!A297</f>
        <v>316</v>
      </c>
      <c r="B297" s="13">
        <f>Datos_Ventas!B297</f>
        <v>46233</v>
      </c>
      <c r="C297" t="str">
        <f t="shared" si="16"/>
        <v>07 Jul</v>
      </c>
      <c r="D297" t="str">
        <f t="shared" si="17"/>
        <v>T3</v>
      </c>
      <c r="E297" t="str">
        <f>INDEX(Productos!$B$2:$B$11,MATCH(Datos_Ventas!D297,Productos!$A$2:$A$11,0))</f>
        <v>Collar Ajustable</v>
      </c>
      <c r="F297" t="str">
        <f>INDEX(Productos!$C$2:$C$11,MATCH(Datos_Ventas!D297,Productos!$A$2:$A$11,0))</f>
        <v>Accesorios</v>
      </c>
      <c r="G297" t="str">
        <f>INDEX(Clientes!$B$2:$B$11,MATCH(Datos_Ventas!C297,Clientes!$A$2:$A$11,0))</f>
        <v>Distribuidora Andes</v>
      </c>
      <c r="H297" t="str">
        <f>INDEX(Clientes!$C$2:$C$11,MATCH(Datos_Ventas!C297,Clientes!$A$2:$A$11,0))</f>
        <v>Mayorista</v>
      </c>
      <c r="I297" t="str">
        <f>INDEX(Clientes!$D$2:$D$11,MATCH(Datos_Ventas!C297,Clientes!$A$2:$A$11,0))</f>
        <v>Mendoza</v>
      </c>
      <c r="J297">
        <f>Datos_Ventas!E297</f>
        <v>21</v>
      </c>
      <c r="K297" s="29">
        <f>Datos_Ventas!F297</f>
        <v>3450</v>
      </c>
      <c r="L297" s="29">
        <f>Datos_Ventas!G297</f>
        <v>72450</v>
      </c>
      <c r="M297" s="29">
        <f>J297*INDEX(Productos!$D$2:$D$11,MATCH(Datos_Ventas!D297,Productos!$A$2:$A$11,0))</f>
        <v>39900</v>
      </c>
      <c r="N297" s="29">
        <f t="shared" si="18"/>
        <v>32550</v>
      </c>
      <c r="O297" s="30">
        <f>K297/INDEX(Productos!$E$2:$E$11,MATCH(Datos_Ventas!D297,Productos!$A$2:$A$11,0))-1</f>
        <v>-4.166666666666663E-2</v>
      </c>
      <c r="P297">
        <f t="shared" si="19"/>
        <v>1</v>
      </c>
    </row>
    <row r="298" spans="1:16" x14ac:dyDescent="0.2">
      <c r="A298">
        <f>Datos_Ventas!A298</f>
        <v>317</v>
      </c>
      <c r="B298" s="13">
        <f>Datos_Ventas!B298</f>
        <v>46234</v>
      </c>
      <c r="C298" t="str">
        <f t="shared" si="16"/>
        <v>07 Jul</v>
      </c>
      <c r="D298" t="str">
        <f t="shared" si="17"/>
        <v>T3</v>
      </c>
      <c r="E298" t="str">
        <f>INDEX(Productos!$B$2:$B$11,MATCH(Datos_Ventas!D298,Productos!$A$2:$A$11,0))</f>
        <v>Alimento Balanceado 15kg</v>
      </c>
      <c r="F298" t="str">
        <f>INDEX(Productos!$C$2:$C$11,MATCH(Datos_Ventas!D298,Productos!$A$2:$A$11,0))</f>
        <v>Alimentos</v>
      </c>
      <c r="G298" t="str">
        <f>INDEX(Clientes!$B$2:$B$11,MATCH(Datos_Ventas!C298,Clientes!$A$2:$A$11,0))</f>
        <v>Hiper Centro</v>
      </c>
      <c r="H298" t="str">
        <f>INDEX(Clientes!$C$2:$C$11,MATCH(Datos_Ventas!C298,Clientes!$A$2:$A$11,0))</f>
        <v>Retail</v>
      </c>
      <c r="I298" t="str">
        <f>INDEX(Clientes!$D$2:$D$11,MATCH(Datos_Ventas!C298,Clientes!$A$2:$A$11,0))</f>
        <v>Luján de Cuyo</v>
      </c>
      <c r="J298">
        <f>Datos_Ventas!E298</f>
        <v>18</v>
      </c>
      <c r="K298" s="29">
        <f>Datos_Ventas!F298</f>
        <v>15490</v>
      </c>
      <c r="L298" s="29">
        <f>Datos_Ventas!G298</f>
        <v>278820</v>
      </c>
      <c r="M298" s="29">
        <f>J298*INDEX(Productos!$D$2:$D$11,MATCH(Datos_Ventas!D298,Productos!$A$2:$A$11,0))</f>
        <v>176400</v>
      </c>
      <c r="N298" s="29">
        <f t="shared" si="18"/>
        <v>102420</v>
      </c>
      <c r="O298" s="30">
        <f>K298/INDEX(Productos!$E$2:$E$11,MATCH(Datos_Ventas!D298,Productos!$A$2:$A$11,0))-1</f>
        <v>6.8275862068965409E-2</v>
      </c>
      <c r="P298">
        <f t="shared" si="19"/>
        <v>1</v>
      </c>
    </row>
    <row r="299" spans="1:16" x14ac:dyDescent="0.2">
      <c r="A299">
        <f>Datos_Ventas!A299</f>
        <v>318</v>
      </c>
      <c r="B299" s="13">
        <f>Datos_Ventas!B299</f>
        <v>46234</v>
      </c>
      <c r="C299" t="str">
        <f t="shared" si="16"/>
        <v>07 Jul</v>
      </c>
      <c r="D299" t="str">
        <f t="shared" si="17"/>
        <v>T3</v>
      </c>
      <c r="E299" t="str">
        <f>INDEX(Productos!$B$2:$B$11,MATCH(Datos_Ventas!D299,Productos!$A$2:$A$11,0))</f>
        <v>Collar Ajustable</v>
      </c>
      <c r="F299" t="str">
        <f>INDEX(Productos!$C$2:$C$11,MATCH(Datos_Ventas!D299,Productos!$A$2:$A$11,0))</f>
        <v>Accesorios</v>
      </c>
      <c r="G299" t="str">
        <f>INDEX(Clientes!$B$2:$B$11,MATCH(Datos_Ventas!C299,Clientes!$A$2:$A$11,0))</f>
        <v>Despensa Vero</v>
      </c>
      <c r="H299" t="str">
        <f>INDEX(Clientes!$C$2:$C$11,MATCH(Datos_Ventas!C299,Clientes!$A$2:$A$11,0))</f>
        <v>Minorista</v>
      </c>
      <c r="I299" t="str">
        <f>INDEX(Clientes!$D$2:$D$11,MATCH(Datos_Ventas!C299,Clientes!$A$2:$A$11,0))</f>
        <v>Mendoza</v>
      </c>
      <c r="J299">
        <f>Datos_Ventas!E299</f>
        <v>1</v>
      </c>
      <c r="K299" s="29">
        <f>Datos_Ventas!F299</f>
        <v>3880</v>
      </c>
      <c r="L299" s="29">
        <f>Datos_Ventas!G299</f>
        <v>3880</v>
      </c>
      <c r="M299" s="29">
        <f>J299*INDEX(Productos!$D$2:$D$11,MATCH(Datos_Ventas!D299,Productos!$A$2:$A$11,0))</f>
        <v>1900</v>
      </c>
      <c r="N299" s="29">
        <f t="shared" si="18"/>
        <v>1980</v>
      </c>
      <c r="O299" s="30">
        <f>K299/INDEX(Productos!$E$2:$E$11,MATCH(Datos_Ventas!D299,Productos!$A$2:$A$11,0))-1</f>
        <v>7.7777777777777724E-2</v>
      </c>
      <c r="P299">
        <f t="shared" si="19"/>
        <v>1</v>
      </c>
    </row>
    <row r="300" spans="1:16" x14ac:dyDescent="0.2">
      <c r="A300">
        <f>Datos_Ventas!A300</f>
        <v>319</v>
      </c>
      <c r="B300" s="13">
        <f>Datos_Ventas!B300</f>
        <v>46234</v>
      </c>
      <c r="C300" t="str">
        <f t="shared" si="16"/>
        <v>07 Jul</v>
      </c>
      <c r="D300" t="str">
        <f t="shared" si="17"/>
        <v>T3</v>
      </c>
      <c r="E300" t="str">
        <f>INDEX(Productos!$B$2:$B$11,MATCH(Datos_Ventas!D300,Productos!$A$2:$A$11,0))</f>
        <v>Aceite Omega</v>
      </c>
      <c r="F300" t="str">
        <f>INDEX(Productos!$C$2:$C$11,MATCH(Datos_Ventas!D300,Productos!$A$2:$A$11,0))</f>
        <v>Suplementos</v>
      </c>
      <c r="G300" t="str">
        <f>INDEX(Clientes!$B$2:$B$11,MATCH(Datos_Ventas!C300,Clientes!$A$2:$A$11,0))</f>
        <v>Pet Shop Mascotas</v>
      </c>
      <c r="H300" t="str">
        <f>INDEX(Clientes!$C$2:$C$11,MATCH(Datos_Ventas!C300,Clientes!$A$2:$A$11,0))</f>
        <v>Especializado</v>
      </c>
      <c r="I300" t="str">
        <f>INDEX(Clientes!$D$2:$D$11,MATCH(Datos_Ventas!C300,Clientes!$A$2:$A$11,0))</f>
        <v>Mendoza</v>
      </c>
      <c r="J300">
        <f>Datos_Ventas!E300</f>
        <v>29</v>
      </c>
      <c r="K300" s="29">
        <f>Datos_Ventas!F300</f>
        <v>5700</v>
      </c>
      <c r="L300" s="29">
        <f>Datos_Ventas!G300</f>
        <v>165300</v>
      </c>
      <c r="M300" s="29">
        <f>J300*INDEX(Productos!$D$2:$D$11,MATCH(Datos_Ventas!D300,Productos!$A$2:$A$11,0))</f>
        <v>89900</v>
      </c>
      <c r="N300" s="29">
        <f t="shared" si="18"/>
        <v>75400</v>
      </c>
      <c r="O300" s="30">
        <f>K300/INDEX(Productos!$E$2:$E$11,MATCH(Datos_Ventas!D300,Productos!$A$2:$A$11,0))-1</f>
        <v>1.7857142857142794E-2</v>
      </c>
      <c r="P300">
        <f t="shared" si="19"/>
        <v>1</v>
      </c>
    </row>
    <row r="301" spans="1:16" x14ac:dyDescent="0.2">
      <c r="A301">
        <f>Datos_Ventas!A301</f>
        <v>320</v>
      </c>
      <c r="B301" s="13">
        <f>Datos_Ventas!B301</f>
        <v>46235</v>
      </c>
      <c r="C301" t="str">
        <f t="shared" si="16"/>
        <v>08 Ago</v>
      </c>
      <c r="D301" t="str">
        <f t="shared" si="17"/>
        <v>T3</v>
      </c>
      <c r="E301" t="str">
        <f>INDEX(Productos!$B$2:$B$11,MATCH(Datos_Ventas!D301,Productos!$A$2:$A$11,0))</f>
        <v>Galletas Perro</v>
      </c>
      <c r="F301" t="str">
        <f>INDEX(Productos!$C$2:$C$11,MATCH(Datos_Ventas!D301,Productos!$A$2:$A$11,0))</f>
        <v>Snacks</v>
      </c>
      <c r="G301" t="str">
        <f>INDEX(Clientes!$B$2:$B$11,MATCH(Datos_Ventas!C301,Clientes!$A$2:$A$11,0))</f>
        <v>Hiper Centro</v>
      </c>
      <c r="H301" t="str">
        <f>INDEX(Clientes!$C$2:$C$11,MATCH(Datos_Ventas!C301,Clientes!$A$2:$A$11,0))</f>
        <v>Retail</v>
      </c>
      <c r="I301" t="str">
        <f>INDEX(Clientes!$D$2:$D$11,MATCH(Datos_Ventas!C301,Clientes!$A$2:$A$11,0))</f>
        <v>Luján de Cuyo</v>
      </c>
      <c r="J301">
        <f>Datos_Ventas!E301</f>
        <v>24</v>
      </c>
      <c r="K301" s="29">
        <f>Datos_Ventas!F301</f>
        <v>2670</v>
      </c>
      <c r="L301" s="29">
        <f>Datos_Ventas!G301</f>
        <v>64080</v>
      </c>
      <c r="M301" s="29">
        <f>J301*INDEX(Productos!$D$2:$D$11,MATCH(Datos_Ventas!D301,Productos!$A$2:$A$11,0))</f>
        <v>36000</v>
      </c>
      <c r="N301" s="29">
        <f t="shared" si="18"/>
        <v>28080</v>
      </c>
      <c r="O301" s="30">
        <f>K301/INDEX(Productos!$E$2:$E$11,MATCH(Datos_Ventas!D301,Productos!$A$2:$A$11,0))-1</f>
        <v>-1.1111111111111072E-2</v>
      </c>
      <c r="P301">
        <f t="shared" si="19"/>
        <v>1</v>
      </c>
    </row>
    <row r="302" spans="1:16" x14ac:dyDescent="0.2">
      <c r="A302">
        <f>Datos_Ventas!A302</f>
        <v>321</v>
      </c>
      <c r="B302" s="13">
        <f>Datos_Ventas!B302</f>
        <v>46236</v>
      </c>
      <c r="C302" t="str">
        <f t="shared" si="16"/>
        <v>08 Ago</v>
      </c>
      <c r="D302" t="str">
        <f t="shared" si="17"/>
        <v>T3</v>
      </c>
      <c r="E302" t="str">
        <f>INDEX(Productos!$B$2:$B$11,MATCH(Datos_Ventas!D302,Productos!$A$2:$A$11,0))</f>
        <v>Aceite Omega</v>
      </c>
      <c r="F302" t="str">
        <f>INDEX(Productos!$C$2:$C$11,MATCH(Datos_Ventas!D302,Productos!$A$2:$A$11,0))</f>
        <v>Suplementos</v>
      </c>
      <c r="G302" t="str">
        <f>INDEX(Clientes!$B$2:$B$11,MATCH(Datos_Ventas!C302,Clientes!$A$2:$A$11,0))</f>
        <v>Supermercado Cuyo</v>
      </c>
      <c r="H302" t="str">
        <f>INDEX(Clientes!$C$2:$C$11,MATCH(Datos_Ventas!C302,Clientes!$A$2:$A$11,0))</f>
        <v>Retail</v>
      </c>
      <c r="I302" t="str">
        <f>INDEX(Clientes!$D$2:$D$11,MATCH(Datos_Ventas!C302,Clientes!$A$2:$A$11,0))</f>
        <v>Guaymallén</v>
      </c>
      <c r="J302">
        <f>Datos_Ventas!E302</f>
        <v>38</v>
      </c>
      <c r="K302" s="29">
        <f>Datos_Ventas!F302</f>
        <v>5610</v>
      </c>
      <c r="L302" s="29">
        <f>Datos_Ventas!G302</f>
        <v>213180</v>
      </c>
      <c r="M302" s="29">
        <f>J302*INDEX(Productos!$D$2:$D$11,MATCH(Datos_Ventas!D302,Productos!$A$2:$A$11,0))</f>
        <v>117800</v>
      </c>
      <c r="N302" s="29">
        <f t="shared" si="18"/>
        <v>95380</v>
      </c>
      <c r="O302" s="30">
        <f>K302/INDEX(Productos!$E$2:$E$11,MATCH(Datos_Ventas!D302,Productos!$A$2:$A$11,0))-1</f>
        <v>1.7857142857142794E-3</v>
      </c>
      <c r="P302">
        <f t="shared" si="19"/>
        <v>1</v>
      </c>
    </row>
    <row r="303" spans="1:16" x14ac:dyDescent="0.2">
      <c r="A303">
        <f>Datos_Ventas!A303</f>
        <v>322</v>
      </c>
      <c r="B303" s="13">
        <f>Datos_Ventas!B303</f>
        <v>46236</v>
      </c>
      <c r="C303" t="str">
        <f t="shared" si="16"/>
        <v>08 Ago</v>
      </c>
      <c r="D303" t="str">
        <f t="shared" si="17"/>
        <v>T3</v>
      </c>
      <c r="E303" t="str">
        <f>INDEX(Productos!$B$2:$B$11,MATCH(Datos_Ventas!D303,Productos!$A$2:$A$11,0))</f>
        <v>Correa Reforzada</v>
      </c>
      <c r="F303" t="str">
        <f>INDEX(Productos!$C$2:$C$11,MATCH(Datos_Ventas!D303,Productos!$A$2:$A$11,0))</f>
        <v>Accesorios</v>
      </c>
      <c r="G303" t="str">
        <f>INDEX(Clientes!$B$2:$B$11,MATCH(Datos_Ventas!C303,Clientes!$A$2:$A$11,0))</f>
        <v>Pet Shop Mascotas</v>
      </c>
      <c r="H303" t="str">
        <f>INDEX(Clientes!$C$2:$C$11,MATCH(Datos_Ventas!C303,Clientes!$A$2:$A$11,0))</f>
        <v>Especializado</v>
      </c>
      <c r="I303" t="str">
        <f>INDEX(Clientes!$D$2:$D$11,MATCH(Datos_Ventas!C303,Clientes!$A$2:$A$11,0))</f>
        <v>Mendoza</v>
      </c>
      <c r="J303">
        <f>Datos_Ventas!E303</f>
        <v>13</v>
      </c>
      <c r="K303" s="29">
        <f>Datos_Ventas!F303</f>
        <v>4950</v>
      </c>
      <c r="L303" s="29">
        <f>Datos_Ventas!G303</f>
        <v>64350</v>
      </c>
      <c r="M303" s="29">
        <f>J303*INDEX(Productos!$D$2:$D$11,MATCH(Datos_Ventas!D303,Productos!$A$2:$A$11,0))</f>
        <v>36400</v>
      </c>
      <c r="N303" s="29">
        <f t="shared" si="18"/>
        <v>27950</v>
      </c>
      <c r="O303" s="30">
        <f>K303/INDEX(Productos!$E$2:$E$11,MATCH(Datos_Ventas!D303,Productos!$A$2:$A$11,0))-1</f>
        <v>-4.8076923076923128E-2</v>
      </c>
      <c r="P303">
        <f t="shared" si="19"/>
        <v>1</v>
      </c>
    </row>
    <row r="304" spans="1:16" x14ac:dyDescent="0.2">
      <c r="A304">
        <f>Datos_Ventas!A304</f>
        <v>323</v>
      </c>
      <c r="B304" s="13">
        <f>Datos_Ventas!B304</f>
        <v>46237</v>
      </c>
      <c r="C304" t="str">
        <f t="shared" si="16"/>
        <v>08 Ago</v>
      </c>
      <c r="D304" t="str">
        <f t="shared" si="17"/>
        <v>T3</v>
      </c>
      <c r="E304" t="str">
        <f>INDEX(Productos!$B$2:$B$11,MATCH(Datos_Ventas!D304,Productos!$A$2:$A$11,0))</f>
        <v>Galletas Perro</v>
      </c>
      <c r="F304" t="str">
        <f>INDEX(Productos!$C$2:$C$11,MATCH(Datos_Ventas!D304,Productos!$A$2:$A$11,0))</f>
        <v>Snacks</v>
      </c>
      <c r="G304" t="str">
        <f>INDEX(Clientes!$B$2:$B$11,MATCH(Datos_Ventas!C304,Clientes!$A$2:$A$11,0))</f>
        <v>Distribuidora Andes</v>
      </c>
      <c r="H304" t="str">
        <f>INDEX(Clientes!$C$2:$C$11,MATCH(Datos_Ventas!C304,Clientes!$A$2:$A$11,0))</f>
        <v>Mayorista</v>
      </c>
      <c r="I304" t="str">
        <f>INDEX(Clientes!$D$2:$D$11,MATCH(Datos_Ventas!C304,Clientes!$A$2:$A$11,0))</f>
        <v>Mendoza</v>
      </c>
      <c r="J304">
        <f>Datos_Ventas!E304</f>
        <v>1</v>
      </c>
      <c r="K304" s="29">
        <f>Datos_Ventas!F304</f>
        <v>2490</v>
      </c>
      <c r="L304" s="29">
        <f>Datos_Ventas!G304</f>
        <v>2490</v>
      </c>
      <c r="M304" s="29">
        <f>J304*INDEX(Productos!$D$2:$D$11,MATCH(Datos_Ventas!D304,Productos!$A$2:$A$11,0))</f>
        <v>1500</v>
      </c>
      <c r="N304" s="29">
        <f t="shared" si="18"/>
        <v>990</v>
      </c>
      <c r="O304" s="30">
        <f>K304/INDEX(Productos!$E$2:$E$11,MATCH(Datos_Ventas!D304,Productos!$A$2:$A$11,0))-1</f>
        <v>-7.7777777777777724E-2</v>
      </c>
      <c r="P304">
        <f t="shared" si="19"/>
        <v>1</v>
      </c>
    </row>
    <row r="305" spans="1:16" x14ac:dyDescent="0.2">
      <c r="A305">
        <f>Datos_Ventas!A305</f>
        <v>324</v>
      </c>
      <c r="B305" s="13">
        <f>Datos_Ventas!B305</f>
        <v>46238</v>
      </c>
      <c r="C305" t="str">
        <f t="shared" si="16"/>
        <v>08 Ago</v>
      </c>
      <c r="D305" t="str">
        <f t="shared" si="17"/>
        <v>T3</v>
      </c>
      <c r="E305" t="str">
        <f>INDEX(Productos!$B$2:$B$11,MATCH(Datos_Ventas!D305,Productos!$A$2:$A$11,0))</f>
        <v>Aceite Omega</v>
      </c>
      <c r="F305" t="str">
        <f>INDEX(Productos!$C$2:$C$11,MATCH(Datos_Ventas!D305,Productos!$A$2:$A$11,0))</f>
        <v>Suplementos</v>
      </c>
      <c r="G305" t="str">
        <f>INDEX(Clientes!$B$2:$B$11,MATCH(Datos_Ventas!C305,Clientes!$A$2:$A$11,0))</f>
        <v>Hiper Centro</v>
      </c>
      <c r="H305" t="str">
        <f>INDEX(Clientes!$C$2:$C$11,MATCH(Datos_Ventas!C305,Clientes!$A$2:$A$11,0))</f>
        <v>Retail</v>
      </c>
      <c r="I305" t="str">
        <f>INDEX(Clientes!$D$2:$D$11,MATCH(Datos_Ventas!C305,Clientes!$A$2:$A$11,0))</f>
        <v>Luján de Cuyo</v>
      </c>
      <c r="J305">
        <f>Datos_Ventas!E305</f>
        <v>36</v>
      </c>
      <c r="K305" s="29">
        <f>Datos_Ventas!F305</f>
        <v>5840</v>
      </c>
      <c r="L305" s="29">
        <f>Datos_Ventas!G305</f>
        <v>210240</v>
      </c>
      <c r="M305" s="29">
        <f>J305*INDEX(Productos!$D$2:$D$11,MATCH(Datos_Ventas!D305,Productos!$A$2:$A$11,0))</f>
        <v>111600</v>
      </c>
      <c r="N305" s="29">
        <f t="shared" si="18"/>
        <v>98640</v>
      </c>
      <c r="O305" s="30">
        <f>K305/INDEX(Productos!$E$2:$E$11,MATCH(Datos_Ventas!D305,Productos!$A$2:$A$11,0))-1</f>
        <v>4.2857142857142927E-2</v>
      </c>
      <c r="P305">
        <f t="shared" si="19"/>
        <v>1</v>
      </c>
    </row>
    <row r="306" spans="1:16" x14ac:dyDescent="0.2">
      <c r="A306">
        <f>Datos_Ventas!A306</f>
        <v>325</v>
      </c>
      <c r="B306" s="13">
        <f>Datos_Ventas!B306</f>
        <v>46239</v>
      </c>
      <c r="C306" t="str">
        <f t="shared" si="16"/>
        <v>08 Ago</v>
      </c>
      <c r="D306" t="str">
        <f t="shared" si="17"/>
        <v>T3</v>
      </c>
      <c r="E306" t="str">
        <f>INDEX(Productos!$B$2:$B$11,MATCH(Datos_Ventas!D306,Productos!$A$2:$A$11,0))</f>
        <v>Alimento Balanceado 15kg</v>
      </c>
      <c r="F306" t="str">
        <f>INDEX(Productos!$C$2:$C$11,MATCH(Datos_Ventas!D306,Productos!$A$2:$A$11,0))</f>
        <v>Alimentos</v>
      </c>
      <c r="G306" t="str">
        <f>INDEX(Clientes!$B$2:$B$11,MATCH(Datos_Ventas!C306,Clientes!$A$2:$A$11,0))</f>
        <v>Despensa Vero</v>
      </c>
      <c r="H306" t="str">
        <f>INDEX(Clientes!$C$2:$C$11,MATCH(Datos_Ventas!C306,Clientes!$A$2:$A$11,0))</f>
        <v>Minorista</v>
      </c>
      <c r="I306" t="str">
        <f>INDEX(Clientes!$D$2:$D$11,MATCH(Datos_Ventas!C306,Clientes!$A$2:$A$11,0))</f>
        <v>Mendoza</v>
      </c>
      <c r="J306">
        <f>Datos_Ventas!E306</f>
        <v>25</v>
      </c>
      <c r="K306" s="29">
        <f>Datos_Ventas!F306</f>
        <v>14210</v>
      </c>
      <c r="L306" s="29">
        <f>Datos_Ventas!G306</f>
        <v>355250</v>
      </c>
      <c r="M306" s="29">
        <f>J306*INDEX(Productos!$D$2:$D$11,MATCH(Datos_Ventas!D306,Productos!$A$2:$A$11,0))</f>
        <v>245000</v>
      </c>
      <c r="N306" s="29">
        <f t="shared" si="18"/>
        <v>110250</v>
      </c>
      <c r="O306" s="30">
        <f>K306/INDEX(Productos!$E$2:$E$11,MATCH(Datos_Ventas!D306,Productos!$A$2:$A$11,0))-1</f>
        <v>-2.0000000000000018E-2</v>
      </c>
      <c r="P306">
        <f t="shared" si="19"/>
        <v>1</v>
      </c>
    </row>
    <row r="307" spans="1:16" x14ac:dyDescent="0.2">
      <c r="A307">
        <f>Datos_Ventas!A307</f>
        <v>326</v>
      </c>
      <c r="B307" s="13">
        <f>Datos_Ventas!B307</f>
        <v>46239</v>
      </c>
      <c r="C307" t="str">
        <f t="shared" si="16"/>
        <v>08 Ago</v>
      </c>
      <c r="D307" t="str">
        <f t="shared" si="17"/>
        <v>T3</v>
      </c>
      <c r="E307" t="str">
        <f>INDEX(Productos!$B$2:$B$11,MATCH(Datos_Ventas!D307,Productos!$A$2:$A$11,0))</f>
        <v>Shampoo Mascotas</v>
      </c>
      <c r="F307" t="str">
        <f>INDEX(Productos!$C$2:$C$11,MATCH(Datos_Ventas!D307,Productos!$A$2:$A$11,0))</f>
        <v>Higiene</v>
      </c>
      <c r="G307" t="str">
        <f>INDEX(Clientes!$B$2:$B$11,MATCH(Datos_Ventas!C307,Clientes!$A$2:$A$11,0))</f>
        <v>Kiosco La Esquina</v>
      </c>
      <c r="H307" t="str">
        <f>INDEX(Clientes!$C$2:$C$11,MATCH(Datos_Ventas!C307,Clientes!$A$2:$A$11,0))</f>
        <v>Minorista</v>
      </c>
      <c r="I307" t="str">
        <f>INDEX(Clientes!$D$2:$D$11,MATCH(Datos_Ventas!C307,Clientes!$A$2:$A$11,0))</f>
        <v>Godoy Cruz</v>
      </c>
      <c r="J307">
        <f>Datos_Ventas!E307</f>
        <v>14</v>
      </c>
      <c r="K307" s="29">
        <f>Datos_Ventas!F307</f>
        <v>3830</v>
      </c>
      <c r="L307" s="29">
        <f>Datos_Ventas!G307</f>
        <v>53620</v>
      </c>
      <c r="M307" s="29">
        <f>J307*INDEX(Productos!$D$2:$D$11,MATCH(Datos_Ventas!D307,Productos!$A$2:$A$11,0))</f>
        <v>30800</v>
      </c>
      <c r="N307" s="29">
        <f t="shared" si="18"/>
        <v>22820</v>
      </c>
      <c r="O307" s="30">
        <f>K307/INDEX(Productos!$E$2:$E$11,MATCH(Datos_Ventas!D307,Productos!$A$2:$A$11,0))-1</f>
        <v>-1.7948717948717996E-2</v>
      </c>
      <c r="P307">
        <f t="shared" si="19"/>
        <v>1</v>
      </c>
    </row>
    <row r="308" spans="1:16" x14ac:dyDescent="0.2">
      <c r="A308">
        <f>Datos_Ventas!A308</f>
        <v>327</v>
      </c>
      <c r="B308" s="13">
        <f>Datos_Ventas!B308</f>
        <v>46240</v>
      </c>
      <c r="C308" t="str">
        <f t="shared" si="16"/>
        <v>08 Ago</v>
      </c>
      <c r="D308" t="str">
        <f t="shared" si="17"/>
        <v>T3</v>
      </c>
      <c r="E308" t="str">
        <f>INDEX(Productos!$B$2:$B$11,MATCH(Datos_Ventas!D308,Productos!$A$2:$A$11,0))</f>
        <v>Alimento Balanceado 15kg</v>
      </c>
      <c r="F308" t="str">
        <f>INDEX(Productos!$C$2:$C$11,MATCH(Datos_Ventas!D308,Productos!$A$2:$A$11,0))</f>
        <v>Alimentos</v>
      </c>
      <c r="G308" t="str">
        <f>INDEX(Clientes!$B$2:$B$11,MATCH(Datos_Ventas!C308,Clientes!$A$2:$A$11,0))</f>
        <v>Kiosco La Esquina</v>
      </c>
      <c r="H308" t="str">
        <f>INDEX(Clientes!$C$2:$C$11,MATCH(Datos_Ventas!C308,Clientes!$A$2:$A$11,0))</f>
        <v>Minorista</v>
      </c>
      <c r="I308" t="str">
        <f>INDEX(Clientes!$D$2:$D$11,MATCH(Datos_Ventas!C308,Clientes!$A$2:$A$11,0))</f>
        <v>Godoy Cruz</v>
      </c>
      <c r="J308">
        <f>Datos_Ventas!E308</f>
        <v>36</v>
      </c>
      <c r="K308" s="29">
        <f>Datos_Ventas!F308</f>
        <v>14420</v>
      </c>
      <c r="L308" s="29">
        <f>Datos_Ventas!G308</f>
        <v>519120</v>
      </c>
      <c r="M308" s="29">
        <f>J308*INDEX(Productos!$D$2:$D$11,MATCH(Datos_Ventas!D308,Productos!$A$2:$A$11,0))</f>
        <v>352800</v>
      </c>
      <c r="N308" s="29">
        <f t="shared" si="18"/>
        <v>166320</v>
      </c>
      <c r="O308" s="30">
        <f>K308/INDEX(Productos!$E$2:$E$11,MATCH(Datos_Ventas!D308,Productos!$A$2:$A$11,0))-1</f>
        <v>-5.5172413793103114E-3</v>
      </c>
      <c r="P308">
        <f t="shared" si="19"/>
        <v>1</v>
      </c>
    </row>
    <row r="309" spans="1:16" x14ac:dyDescent="0.2">
      <c r="A309">
        <f>Datos_Ventas!A309</f>
        <v>328</v>
      </c>
      <c r="B309" s="13">
        <f>Datos_Ventas!B309</f>
        <v>46240</v>
      </c>
      <c r="C309" t="str">
        <f t="shared" si="16"/>
        <v>08 Ago</v>
      </c>
      <c r="D309" t="str">
        <f t="shared" si="17"/>
        <v>T3</v>
      </c>
      <c r="E309" t="str">
        <f>INDEX(Productos!$B$2:$B$11,MATCH(Datos_Ventas!D309,Productos!$A$2:$A$11,0))</f>
        <v>Aceite Omega</v>
      </c>
      <c r="F309" t="str">
        <f>INDEX(Productos!$C$2:$C$11,MATCH(Datos_Ventas!D309,Productos!$A$2:$A$11,0))</f>
        <v>Suplementos</v>
      </c>
      <c r="G309" t="str">
        <f>INDEX(Clientes!$B$2:$B$11,MATCH(Datos_Ventas!C309,Clientes!$A$2:$A$11,0))</f>
        <v>Hiper Centro</v>
      </c>
      <c r="H309" t="str">
        <f>INDEX(Clientes!$C$2:$C$11,MATCH(Datos_Ventas!C309,Clientes!$A$2:$A$11,0))</f>
        <v>Retail</v>
      </c>
      <c r="I309" t="str">
        <f>INDEX(Clientes!$D$2:$D$11,MATCH(Datos_Ventas!C309,Clientes!$A$2:$A$11,0))</f>
        <v>Luján de Cuyo</v>
      </c>
      <c r="J309">
        <f>Datos_Ventas!E309</f>
        <v>29</v>
      </c>
      <c r="K309" s="29">
        <f>Datos_Ventas!F309</f>
        <v>5660</v>
      </c>
      <c r="L309" s="29">
        <f>Datos_Ventas!G309</f>
        <v>164140</v>
      </c>
      <c r="M309" s="29">
        <f>J309*INDEX(Productos!$D$2:$D$11,MATCH(Datos_Ventas!D309,Productos!$A$2:$A$11,0))</f>
        <v>89900</v>
      </c>
      <c r="N309" s="29">
        <f t="shared" si="18"/>
        <v>74240</v>
      </c>
      <c r="O309" s="30">
        <f>K309/INDEX(Productos!$E$2:$E$11,MATCH(Datos_Ventas!D309,Productos!$A$2:$A$11,0))-1</f>
        <v>1.0714285714285676E-2</v>
      </c>
      <c r="P309">
        <f t="shared" si="19"/>
        <v>1</v>
      </c>
    </row>
    <row r="310" spans="1:16" x14ac:dyDescent="0.2">
      <c r="A310">
        <f>Datos_Ventas!A310</f>
        <v>329</v>
      </c>
      <c r="B310" s="13">
        <f>Datos_Ventas!B310</f>
        <v>46241</v>
      </c>
      <c r="C310" t="str">
        <f t="shared" si="16"/>
        <v>08 Ago</v>
      </c>
      <c r="D310" t="str">
        <f t="shared" si="17"/>
        <v>T3</v>
      </c>
      <c r="E310" t="str">
        <f>INDEX(Productos!$B$2:$B$11,MATCH(Datos_Ventas!D310,Productos!$A$2:$A$11,0))</f>
        <v>Aceite Omega</v>
      </c>
      <c r="F310" t="str">
        <f>INDEX(Productos!$C$2:$C$11,MATCH(Datos_Ventas!D310,Productos!$A$2:$A$11,0))</f>
        <v>Suplementos</v>
      </c>
      <c r="G310" t="str">
        <f>INDEX(Clientes!$B$2:$B$11,MATCH(Datos_Ventas!C310,Clientes!$A$2:$A$11,0))</f>
        <v>Veterinaria Sur</v>
      </c>
      <c r="H310" t="str">
        <f>INDEX(Clientes!$C$2:$C$11,MATCH(Datos_Ventas!C310,Clientes!$A$2:$A$11,0))</f>
        <v>Especializado</v>
      </c>
      <c r="I310" t="str">
        <f>INDEX(Clientes!$D$2:$D$11,MATCH(Datos_Ventas!C310,Clientes!$A$2:$A$11,0))</f>
        <v>Godoy Cruz</v>
      </c>
      <c r="J310">
        <f>Datos_Ventas!E310</f>
        <v>31</v>
      </c>
      <c r="K310" s="29">
        <f>Datos_Ventas!F310</f>
        <v>5920</v>
      </c>
      <c r="L310" s="29">
        <f>Datos_Ventas!G310</f>
        <v>183520</v>
      </c>
      <c r="M310" s="29">
        <f>J310*INDEX(Productos!$D$2:$D$11,MATCH(Datos_Ventas!D310,Productos!$A$2:$A$11,0))</f>
        <v>96100</v>
      </c>
      <c r="N310" s="29">
        <f t="shared" si="18"/>
        <v>87420</v>
      </c>
      <c r="O310" s="30">
        <f>K310/INDEX(Productos!$E$2:$E$11,MATCH(Datos_Ventas!D310,Productos!$A$2:$A$11,0))-1</f>
        <v>5.7142857142857162E-2</v>
      </c>
      <c r="P310">
        <f t="shared" si="19"/>
        <v>1</v>
      </c>
    </row>
    <row r="311" spans="1:16" x14ac:dyDescent="0.2">
      <c r="A311">
        <f>Datos_Ventas!A311</f>
        <v>330</v>
      </c>
      <c r="B311" s="13">
        <f>Datos_Ventas!B311</f>
        <v>46242</v>
      </c>
      <c r="C311" t="str">
        <f t="shared" si="16"/>
        <v>08 Ago</v>
      </c>
      <c r="D311" t="str">
        <f t="shared" si="17"/>
        <v>T3</v>
      </c>
      <c r="E311" t="str">
        <f>INDEX(Productos!$B$2:$B$11,MATCH(Datos_Ventas!D311,Productos!$A$2:$A$11,0))</f>
        <v>Alimento Premium 10kg</v>
      </c>
      <c r="F311" t="str">
        <f>INDEX(Productos!$C$2:$C$11,MATCH(Datos_Ventas!D311,Productos!$A$2:$A$11,0))</f>
        <v>Alimentos</v>
      </c>
      <c r="G311" t="str">
        <f>INDEX(Clientes!$B$2:$B$11,MATCH(Datos_Ventas!C311,Clientes!$A$2:$A$11,0))</f>
        <v>Almacén Don Pedro</v>
      </c>
      <c r="H311" t="str">
        <f>INDEX(Clientes!$C$2:$C$11,MATCH(Datos_Ventas!C311,Clientes!$A$2:$A$11,0))</f>
        <v>Minorista</v>
      </c>
      <c r="I311" t="str">
        <f>INDEX(Clientes!$D$2:$D$11,MATCH(Datos_Ventas!C311,Clientes!$A$2:$A$11,0))</f>
        <v>Maipú</v>
      </c>
      <c r="J311">
        <f>Datos_Ventas!E311</f>
        <v>6</v>
      </c>
      <c r="K311" s="29">
        <f>Datos_Ventas!F311</f>
        <v>20320</v>
      </c>
      <c r="L311" s="29">
        <f>Datos_Ventas!G311</f>
        <v>121920</v>
      </c>
      <c r="M311" s="29">
        <f>J311*INDEX(Productos!$D$2:$D$11,MATCH(Datos_Ventas!D311,Productos!$A$2:$A$11,0))</f>
        <v>75000</v>
      </c>
      <c r="N311" s="29">
        <f t="shared" si="18"/>
        <v>46920</v>
      </c>
      <c r="O311" s="30">
        <f>K311/INDEX(Productos!$E$2:$E$11,MATCH(Datos_Ventas!D311,Productos!$A$2:$A$11,0))-1</f>
        <v>7.5132275132275161E-2</v>
      </c>
      <c r="P311">
        <f t="shared" si="19"/>
        <v>1</v>
      </c>
    </row>
    <row r="312" spans="1:16" x14ac:dyDescent="0.2">
      <c r="A312">
        <f>Datos_Ventas!A312</f>
        <v>331</v>
      </c>
      <c r="B312" s="13">
        <f>Datos_Ventas!B312</f>
        <v>46242</v>
      </c>
      <c r="C312" t="str">
        <f t="shared" si="16"/>
        <v>08 Ago</v>
      </c>
      <c r="D312" t="str">
        <f t="shared" si="17"/>
        <v>T3</v>
      </c>
      <c r="E312" t="str">
        <f>INDEX(Productos!$B$2:$B$11,MATCH(Datos_Ventas!D312,Productos!$A$2:$A$11,0))</f>
        <v>Correa Reforzada</v>
      </c>
      <c r="F312" t="str">
        <f>INDEX(Productos!$C$2:$C$11,MATCH(Datos_Ventas!D312,Productos!$A$2:$A$11,0))</f>
        <v>Accesorios</v>
      </c>
      <c r="G312" t="str">
        <f>INDEX(Clientes!$B$2:$B$11,MATCH(Datos_Ventas!C312,Clientes!$A$2:$A$11,0))</f>
        <v>Mayorista del Sol</v>
      </c>
      <c r="H312" t="str">
        <f>INDEX(Clientes!$C$2:$C$11,MATCH(Datos_Ventas!C312,Clientes!$A$2:$A$11,0))</f>
        <v>Mayorista</v>
      </c>
      <c r="I312" t="str">
        <f>INDEX(Clientes!$D$2:$D$11,MATCH(Datos_Ventas!C312,Clientes!$A$2:$A$11,0))</f>
        <v>San Martín</v>
      </c>
      <c r="J312">
        <f>Datos_Ventas!E312</f>
        <v>30</v>
      </c>
      <c r="K312" s="29">
        <f>Datos_Ventas!F312</f>
        <v>4860</v>
      </c>
      <c r="L312" s="29">
        <f>Datos_Ventas!G312</f>
        <v>145800</v>
      </c>
      <c r="M312" s="29">
        <f>J312*INDEX(Productos!$D$2:$D$11,MATCH(Datos_Ventas!D312,Productos!$A$2:$A$11,0))</f>
        <v>84000</v>
      </c>
      <c r="N312" s="29">
        <f t="shared" si="18"/>
        <v>61800</v>
      </c>
      <c r="O312" s="30">
        <f>K312/INDEX(Productos!$E$2:$E$11,MATCH(Datos_Ventas!D312,Productos!$A$2:$A$11,0))-1</f>
        <v>-6.5384615384615374E-2</v>
      </c>
      <c r="P312">
        <f t="shared" si="19"/>
        <v>1</v>
      </c>
    </row>
    <row r="313" spans="1:16" x14ac:dyDescent="0.2">
      <c r="A313">
        <f>Datos_Ventas!A313</f>
        <v>332</v>
      </c>
      <c r="B313" s="13">
        <f>Datos_Ventas!B313</f>
        <v>46242</v>
      </c>
      <c r="C313" t="str">
        <f t="shared" si="16"/>
        <v>08 Ago</v>
      </c>
      <c r="D313" t="str">
        <f t="shared" si="17"/>
        <v>T3</v>
      </c>
      <c r="E313" t="str">
        <f>INDEX(Productos!$B$2:$B$11,MATCH(Datos_Ventas!D313,Productos!$A$2:$A$11,0))</f>
        <v>Arena Sanitaria</v>
      </c>
      <c r="F313" t="str">
        <f>INDEX(Productos!$C$2:$C$11,MATCH(Datos_Ventas!D313,Productos!$A$2:$A$11,0))</f>
        <v>Higiene</v>
      </c>
      <c r="G313" t="str">
        <f>INDEX(Clientes!$B$2:$B$11,MATCH(Datos_Ventas!C313,Clientes!$A$2:$A$11,0))</f>
        <v>Distribuidora Andes</v>
      </c>
      <c r="H313" t="str">
        <f>INDEX(Clientes!$C$2:$C$11,MATCH(Datos_Ventas!C313,Clientes!$A$2:$A$11,0))</f>
        <v>Mayorista</v>
      </c>
      <c r="I313" t="str">
        <f>INDEX(Clientes!$D$2:$D$11,MATCH(Datos_Ventas!C313,Clientes!$A$2:$A$11,0))</f>
        <v>Mendoza</v>
      </c>
      <c r="J313">
        <f>Datos_Ventas!E313</f>
        <v>13</v>
      </c>
      <c r="K313" s="29">
        <f>Datos_Ventas!F313</f>
        <v>4560</v>
      </c>
      <c r="L313" s="29">
        <f>Datos_Ventas!G313</f>
        <v>59280</v>
      </c>
      <c r="M313" s="29">
        <f>J313*INDEX(Productos!$D$2:$D$11,MATCH(Datos_Ventas!D313,Productos!$A$2:$A$11,0))</f>
        <v>33800</v>
      </c>
      <c r="N313" s="29">
        <f t="shared" si="18"/>
        <v>25480</v>
      </c>
      <c r="O313" s="30">
        <f>K313/INDEX(Productos!$E$2:$E$11,MATCH(Datos_Ventas!D313,Productos!$A$2:$A$11,0))-1</f>
        <v>3.6363636363636376E-2</v>
      </c>
      <c r="P313">
        <f t="shared" si="19"/>
        <v>1</v>
      </c>
    </row>
    <row r="314" spans="1:16" x14ac:dyDescent="0.2">
      <c r="A314">
        <f>Datos_Ventas!A314</f>
        <v>333</v>
      </c>
      <c r="B314" s="13">
        <f>Datos_Ventas!B314</f>
        <v>46244</v>
      </c>
      <c r="C314" t="str">
        <f t="shared" si="16"/>
        <v>08 Ago</v>
      </c>
      <c r="D314" t="str">
        <f t="shared" si="17"/>
        <v>T3</v>
      </c>
      <c r="E314" t="str">
        <f>INDEX(Productos!$B$2:$B$11,MATCH(Datos_Ventas!D314,Productos!$A$2:$A$11,0))</f>
        <v>Arena Sanitaria</v>
      </c>
      <c r="F314" t="str">
        <f>INDEX(Productos!$C$2:$C$11,MATCH(Datos_Ventas!D314,Productos!$A$2:$A$11,0))</f>
        <v>Higiene</v>
      </c>
      <c r="G314" t="str">
        <f>INDEX(Clientes!$B$2:$B$11,MATCH(Datos_Ventas!C314,Clientes!$A$2:$A$11,0))</f>
        <v>Veterinaria Sur</v>
      </c>
      <c r="H314" t="str">
        <f>INDEX(Clientes!$C$2:$C$11,MATCH(Datos_Ventas!C314,Clientes!$A$2:$A$11,0))</f>
        <v>Especializado</v>
      </c>
      <c r="I314" t="str">
        <f>INDEX(Clientes!$D$2:$D$11,MATCH(Datos_Ventas!C314,Clientes!$A$2:$A$11,0))</f>
        <v>Godoy Cruz</v>
      </c>
      <c r="J314">
        <f>Datos_Ventas!E314</f>
        <v>31</v>
      </c>
      <c r="K314" s="29">
        <f>Datos_Ventas!F314</f>
        <v>4680</v>
      </c>
      <c r="L314" s="29">
        <f>Datos_Ventas!G314</f>
        <v>145080</v>
      </c>
      <c r="M314" s="29">
        <f>J314*INDEX(Productos!$D$2:$D$11,MATCH(Datos_Ventas!D314,Productos!$A$2:$A$11,0))</f>
        <v>80600</v>
      </c>
      <c r="N314" s="29">
        <f t="shared" si="18"/>
        <v>64480</v>
      </c>
      <c r="O314" s="30">
        <f>K314/INDEX(Productos!$E$2:$E$11,MATCH(Datos_Ventas!D314,Productos!$A$2:$A$11,0))-1</f>
        <v>6.3636363636363713E-2</v>
      </c>
      <c r="P314">
        <f t="shared" si="19"/>
        <v>1</v>
      </c>
    </row>
    <row r="315" spans="1:16" x14ac:dyDescent="0.2">
      <c r="A315">
        <f>Datos_Ventas!A315</f>
        <v>334</v>
      </c>
      <c r="B315" s="13">
        <f>Datos_Ventas!B315</f>
        <v>46244</v>
      </c>
      <c r="C315" t="str">
        <f t="shared" si="16"/>
        <v>08 Ago</v>
      </c>
      <c r="D315" t="str">
        <f t="shared" si="17"/>
        <v>T3</v>
      </c>
      <c r="E315" t="str">
        <f>INDEX(Productos!$B$2:$B$11,MATCH(Datos_Ventas!D315,Productos!$A$2:$A$11,0))</f>
        <v>Juguete Pelota</v>
      </c>
      <c r="F315" t="str">
        <f>INDEX(Productos!$C$2:$C$11,MATCH(Datos_Ventas!D315,Productos!$A$2:$A$11,0))</f>
        <v>Accesorios</v>
      </c>
      <c r="G315" t="str">
        <f>INDEX(Clientes!$B$2:$B$11,MATCH(Datos_Ventas!C315,Clientes!$A$2:$A$11,0))</f>
        <v>Mayorista del Sol</v>
      </c>
      <c r="H315" t="str">
        <f>INDEX(Clientes!$C$2:$C$11,MATCH(Datos_Ventas!C315,Clientes!$A$2:$A$11,0))</f>
        <v>Mayorista</v>
      </c>
      <c r="I315" t="str">
        <f>INDEX(Clientes!$D$2:$D$11,MATCH(Datos_Ventas!C315,Clientes!$A$2:$A$11,0))</f>
        <v>San Martín</v>
      </c>
      <c r="J315">
        <f>Datos_Ventas!E315</f>
        <v>3</v>
      </c>
      <c r="K315" s="29">
        <f>Datos_Ventas!F315</f>
        <v>1820</v>
      </c>
      <c r="L315" s="29">
        <f>Datos_Ventas!G315</f>
        <v>5460</v>
      </c>
      <c r="M315" s="29">
        <f>J315*INDEX(Productos!$D$2:$D$11,MATCH(Datos_Ventas!D315,Productos!$A$2:$A$11,0))</f>
        <v>2700</v>
      </c>
      <c r="N315" s="29">
        <f t="shared" si="18"/>
        <v>2760</v>
      </c>
      <c r="O315" s="30">
        <f>K315/INDEX(Productos!$E$2:$E$11,MATCH(Datos_Ventas!D315,Productos!$A$2:$A$11,0))-1</f>
        <v>1.1111111111111072E-2</v>
      </c>
      <c r="P315">
        <f t="shared" si="19"/>
        <v>1</v>
      </c>
    </row>
    <row r="316" spans="1:16" x14ac:dyDescent="0.2">
      <c r="A316">
        <f>Datos_Ventas!A316</f>
        <v>335</v>
      </c>
      <c r="B316" s="13">
        <f>Datos_Ventas!B316</f>
        <v>46244</v>
      </c>
      <c r="C316" t="str">
        <f t="shared" si="16"/>
        <v>08 Ago</v>
      </c>
      <c r="D316" t="str">
        <f t="shared" si="17"/>
        <v>T3</v>
      </c>
      <c r="E316" t="str">
        <f>INDEX(Productos!$B$2:$B$11,MATCH(Datos_Ventas!D316,Productos!$A$2:$A$11,0))</f>
        <v>Juguete Pelota</v>
      </c>
      <c r="F316" t="str">
        <f>INDEX(Productos!$C$2:$C$11,MATCH(Datos_Ventas!D316,Productos!$A$2:$A$11,0))</f>
        <v>Accesorios</v>
      </c>
      <c r="G316" t="str">
        <f>INDEX(Clientes!$B$2:$B$11,MATCH(Datos_Ventas!C316,Clientes!$A$2:$A$11,0))</f>
        <v>Supermercado Cuyo</v>
      </c>
      <c r="H316" t="str">
        <f>INDEX(Clientes!$C$2:$C$11,MATCH(Datos_Ventas!C316,Clientes!$A$2:$A$11,0))</f>
        <v>Retail</v>
      </c>
      <c r="I316" t="str">
        <f>INDEX(Clientes!$D$2:$D$11,MATCH(Datos_Ventas!C316,Clientes!$A$2:$A$11,0))</f>
        <v>Guaymallén</v>
      </c>
      <c r="J316">
        <f>Datos_Ventas!E316</f>
        <v>25</v>
      </c>
      <c r="K316" s="29">
        <f>Datos_Ventas!F316</f>
        <v>1900</v>
      </c>
      <c r="L316" s="29">
        <f>Datos_Ventas!G316</f>
        <v>47500</v>
      </c>
      <c r="M316" s="29">
        <f>J316*INDEX(Productos!$D$2:$D$11,MATCH(Datos_Ventas!D316,Productos!$A$2:$A$11,0))</f>
        <v>22500</v>
      </c>
      <c r="N316" s="29">
        <f t="shared" si="18"/>
        <v>25000</v>
      </c>
      <c r="O316" s="30">
        <f>K316/INDEX(Productos!$E$2:$E$11,MATCH(Datos_Ventas!D316,Productos!$A$2:$A$11,0))-1</f>
        <v>5.555555555555558E-2</v>
      </c>
      <c r="P316">
        <f t="shared" si="19"/>
        <v>1</v>
      </c>
    </row>
    <row r="317" spans="1:16" x14ac:dyDescent="0.2">
      <c r="A317">
        <f>Datos_Ventas!A317</f>
        <v>336</v>
      </c>
      <c r="B317" s="13">
        <f>Datos_Ventas!B317</f>
        <v>46245</v>
      </c>
      <c r="C317" t="str">
        <f t="shared" si="16"/>
        <v>08 Ago</v>
      </c>
      <c r="D317" t="str">
        <f t="shared" si="17"/>
        <v>T3</v>
      </c>
      <c r="E317" t="str">
        <f>INDEX(Productos!$B$2:$B$11,MATCH(Datos_Ventas!D317,Productos!$A$2:$A$11,0))</f>
        <v>Shampoo Mascotas</v>
      </c>
      <c r="F317" t="str">
        <f>INDEX(Productos!$C$2:$C$11,MATCH(Datos_Ventas!D317,Productos!$A$2:$A$11,0))</f>
        <v>Higiene</v>
      </c>
      <c r="G317" t="str">
        <f>INDEX(Clientes!$B$2:$B$11,MATCH(Datos_Ventas!C317,Clientes!$A$2:$A$11,0))</f>
        <v>Almacén Don Pedro</v>
      </c>
      <c r="H317" t="str">
        <f>INDEX(Clientes!$C$2:$C$11,MATCH(Datos_Ventas!C317,Clientes!$A$2:$A$11,0))</f>
        <v>Minorista</v>
      </c>
      <c r="I317" t="str">
        <f>INDEX(Clientes!$D$2:$D$11,MATCH(Datos_Ventas!C317,Clientes!$A$2:$A$11,0))</f>
        <v>Maipú</v>
      </c>
      <c r="J317">
        <f>Datos_Ventas!E317</f>
        <v>39</v>
      </c>
      <c r="K317" s="29">
        <f>Datos_Ventas!F317</f>
        <v>3650</v>
      </c>
      <c r="L317" s="29">
        <f>Datos_Ventas!G317</f>
        <v>142350</v>
      </c>
      <c r="M317" s="29">
        <f>J317*INDEX(Productos!$D$2:$D$11,MATCH(Datos_Ventas!D317,Productos!$A$2:$A$11,0))</f>
        <v>85800</v>
      </c>
      <c r="N317" s="29">
        <f t="shared" si="18"/>
        <v>56550</v>
      </c>
      <c r="O317" s="30">
        <f>K317/INDEX(Productos!$E$2:$E$11,MATCH(Datos_Ventas!D317,Productos!$A$2:$A$11,0))-1</f>
        <v>-6.4102564102564097E-2</v>
      </c>
      <c r="P317">
        <f t="shared" si="19"/>
        <v>1</v>
      </c>
    </row>
    <row r="318" spans="1:16" x14ac:dyDescent="0.2">
      <c r="A318">
        <f>Datos_Ventas!A318</f>
        <v>337</v>
      </c>
      <c r="B318" s="13">
        <f>Datos_Ventas!B318</f>
        <v>46246</v>
      </c>
      <c r="C318" t="str">
        <f t="shared" si="16"/>
        <v>08 Ago</v>
      </c>
      <c r="D318" t="str">
        <f t="shared" si="17"/>
        <v>T3</v>
      </c>
      <c r="E318" t="str">
        <f>INDEX(Productos!$B$2:$B$11,MATCH(Datos_Ventas!D318,Productos!$A$2:$A$11,0))</f>
        <v>Juguete Pelota</v>
      </c>
      <c r="F318" t="str">
        <f>INDEX(Productos!$C$2:$C$11,MATCH(Datos_Ventas!D318,Productos!$A$2:$A$11,0))</f>
        <v>Accesorios</v>
      </c>
      <c r="G318" t="str">
        <f>INDEX(Clientes!$B$2:$B$11,MATCH(Datos_Ventas!C318,Clientes!$A$2:$A$11,0))</f>
        <v>Pet Shop Mascotas</v>
      </c>
      <c r="H318" t="str">
        <f>INDEX(Clientes!$C$2:$C$11,MATCH(Datos_Ventas!C318,Clientes!$A$2:$A$11,0))</f>
        <v>Especializado</v>
      </c>
      <c r="I318" t="str">
        <f>INDEX(Clientes!$D$2:$D$11,MATCH(Datos_Ventas!C318,Clientes!$A$2:$A$11,0))</f>
        <v>Mendoza</v>
      </c>
      <c r="J318">
        <f>Datos_Ventas!E318</f>
        <v>22</v>
      </c>
      <c r="K318" s="29">
        <f>Datos_Ventas!F318</f>
        <v>1860</v>
      </c>
      <c r="L318" s="29">
        <f>Datos_Ventas!G318</f>
        <v>40920</v>
      </c>
      <c r="M318" s="29">
        <f>J318*INDEX(Productos!$D$2:$D$11,MATCH(Datos_Ventas!D318,Productos!$A$2:$A$11,0))</f>
        <v>19800</v>
      </c>
      <c r="N318" s="29">
        <f t="shared" si="18"/>
        <v>21120</v>
      </c>
      <c r="O318" s="30">
        <f>K318/INDEX(Productos!$E$2:$E$11,MATCH(Datos_Ventas!D318,Productos!$A$2:$A$11,0))-1</f>
        <v>3.3333333333333437E-2</v>
      </c>
      <c r="P318">
        <f t="shared" si="19"/>
        <v>1</v>
      </c>
    </row>
    <row r="319" spans="1:16" x14ac:dyDescent="0.2">
      <c r="A319">
        <f>Datos_Ventas!A319</f>
        <v>338</v>
      </c>
      <c r="B319" s="13">
        <f>Datos_Ventas!B319</f>
        <v>46247</v>
      </c>
      <c r="C319" t="str">
        <f t="shared" si="16"/>
        <v>08 Ago</v>
      </c>
      <c r="D319" t="str">
        <f t="shared" si="17"/>
        <v>T3</v>
      </c>
      <c r="E319" t="str">
        <f>INDEX(Productos!$B$2:$B$11,MATCH(Datos_Ventas!D319,Productos!$A$2:$A$11,0))</f>
        <v>Snack Dental</v>
      </c>
      <c r="F319" t="str">
        <f>INDEX(Productos!$C$2:$C$11,MATCH(Datos_Ventas!D319,Productos!$A$2:$A$11,0))</f>
        <v>Snacks</v>
      </c>
      <c r="G319" t="str">
        <f>INDEX(Clientes!$B$2:$B$11,MATCH(Datos_Ventas!C319,Clientes!$A$2:$A$11,0))</f>
        <v>Supermercado Cuyo</v>
      </c>
      <c r="H319" t="str">
        <f>INDEX(Clientes!$C$2:$C$11,MATCH(Datos_Ventas!C319,Clientes!$A$2:$A$11,0))</f>
        <v>Retail</v>
      </c>
      <c r="I319" t="str">
        <f>INDEX(Clientes!$D$2:$D$11,MATCH(Datos_Ventas!C319,Clientes!$A$2:$A$11,0))</f>
        <v>Guaymallén</v>
      </c>
      <c r="J319">
        <f>Datos_Ventas!E319</f>
        <v>40</v>
      </c>
      <c r="K319" s="29">
        <f>Datos_Ventas!F319</f>
        <v>3030</v>
      </c>
      <c r="L319" s="29">
        <f>Datos_Ventas!G319</f>
        <v>121200</v>
      </c>
      <c r="M319" s="29">
        <f>J319*INDEX(Productos!$D$2:$D$11,MATCH(Datos_Ventas!D319,Productos!$A$2:$A$11,0))</f>
        <v>72000</v>
      </c>
      <c r="N319" s="29">
        <f t="shared" si="18"/>
        <v>49200</v>
      </c>
      <c r="O319" s="30">
        <f>K319/INDEX(Productos!$E$2:$E$11,MATCH(Datos_Ventas!D319,Productos!$A$2:$A$11,0))-1</f>
        <v>-5.3124999999999978E-2</v>
      </c>
      <c r="P319">
        <f t="shared" si="19"/>
        <v>1</v>
      </c>
    </row>
    <row r="320" spans="1:16" x14ac:dyDescent="0.2">
      <c r="A320">
        <f>Datos_Ventas!A320</f>
        <v>339</v>
      </c>
      <c r="B320" s="13">
        <f>Datos_Ventas!B320</f>
        <v>46247</v>
      </c>
      <c r="C320" t="str">
        <f t="shared" si="16"/>
        <v>08 Ago</v>
      </c>
      <c r="D320" t="str">
        <f t="shared" si="17"/>
        <v>T3</v>
      </c>
      <c r="E320" t="str">
        <f>INDEX(Productos!$B$2:$B$11,MATCH(Datos_Ventas!D320,Productos!$A$2:$A$11,0))</f>
        <v>Juguete Pelota</v>
      </c>
      <c r="F320" t="str">
        <f>INDEX(Productos!$C$2:$C$11,MATCH(Datos_Ventas!D320,Productos!$A$2:$A$11,0))</f>
        <v>Accesorios</v>
      </c>
      <c r="G320" t="str">
        <f>INDEX(Clientes!$B$2:$B$11,MATCH(Datos_Ventas!C320,Clientes!$A$2:$A$11,0))</f>
        <v>Veterinaria Sur</v>
      </c>
      <c r="H320" t="str">
        <f>INDEX(Clientes!$C$2:$C$11,MATCH(Datos_Ventas!C320,Clientes!$A$2:$A$11,0))</f>
        <v>Especializado</v>
      </c>
      <c r="I320" t="str">
        <f>INDEX(Clientes!$D$2:$D$11,MATCH(Datos_Ventas!C320,Clientes!$A$2:$A$11,0))</f>
        <v>Godoy Cruz</v>
      </c>
      <c r="J320">
        <f>Datos_Ventas!E320</f>
        <v>26</v>
      </c>
      <c r="K320" s="29">
        <f>Datos_Ventas!F320</f>
        <v>1700</v>
      </c>
      <c r="L320" s="29">
        <f>Datos_Ventas!G320</f>
        <v>44200</v>
      </c>
      <c r="M320" s="29">
        <f>J320*INDEX(Productos!$D$2:$D$11,MATCH(Datos_Ventas!D320,Productos!$A$2:$A$11,0))</f>
        <v>23400</v>
      </c>
      <c r="N320" s="29">
        <f t="shared" si="18"/>
        <v>20800</v>
      </c>
      <c r="O320" s="30">
        <f>K320/INDEX(Productos!$E$2:$E$11,MATCH(Datos_Ventas!D320,Productos!$A$2:$A$11,0))-1</f>
        <v>-5.555555555555558E-2</v>
      </c>
      <c r="P320">
        <f t="shared" si="19"/>
        <v>1</v>
      </c>
    </row>
    <row r="321" spans="1:16" x14ac:dyDescent="0.2">
      <c r="A321">
        <f>Datos_Ventas!A321</f>
        <v>340</v>
      </c>
      <c r="B321" s="13">
        <f>Datos_Ventas!B321</f>
        <v>46248</v>
      </c>
      <c r="C321" t="str">
        <f t="shared" si="16"/>
        <v>08 Ago</v>
      </c>
      <c r="D321" t="str">
        <f t="shared" si="17"/>
        <v>T3</v>
      </c>
      <c r="E321" t="str">
        <f>INDEX(Productos!$B$2:$B$11,MATCH(Datos_Ventas!D321,Productos!$A$2:$A$11,0))</f>
        <v>Shampoo Mascotas</v>
      </c>
      <c r="F321" t="str">
        <f>INDEX(Productos!$C$2:$C$11,MATCH(Datos_Ventas!D321,Productos!$A$2:$A$11,0))</f>
        <v>Higiene</v>
      </c>
      <c r="G321" t="str">
        <f>INDEX(Clientes!$B$2:$B$11,MATCH(Datos_Ventas!C321,Clientes!$A$2:$A$11,0))</f>
        <v>Pet Shop Mascotas</v>
      </c>
      <c r="H321" t="str">
        <f>INDEX(Clientes!$C$2:$C$11,MATCH(Datos_Ventas!C321,Clientes!$A$2:$A$11,0))</f>
        <v>Especializado</v>
      </c>
      <c r="I321" t="str">
        <f>INDEX(Clientes!$D$2:$D$11,MATCH(Datos_Ventas!C321,Clientes!$A$2:$A$11,0))</f>
        <v>Mendoza</v>
      </c>
      <c r="J321">
        <f>Datos_Ventas!E321</f>
        <v>32</v>
      </c>
      <c r="K321" s="29">
        <f>Datos_Ventas!F321</f>
        <v>3850</v>
      </c>
      <c r="L321" s="29">
        <f>Datos_Ventas!G321</f>
        <v>123200</v>
      </c>
      <c r="M321" s="29">
        <f>J321*INDEX(Productos!$D$2:$D$11,MATCH(Datos_Ventas!D321,Productos!$A$2:$A$11,0))</f>
        <v>70400</v>
      </c>
      <c r="N321" s="29">
        <f t="shared" si="18"/>
        <v>52800</v>
      </c>
      <c r="O321" s="30">
        <f>K321/INDEX(Productos!$E$2:$E$11,MATCH(Datos_Ventas!D321,Productos!$A$2:$A$11,0))-1</f>
        <v>-1.2820512820512775E-2</v>
      </c>
      <c r="P321">
        <f t="shared" si="19"/>
        <v>1</v>
      </c>
    </row>
    <row r="322" spans="1:16" x14ac:dyDescent="0.2">
      <c r="A322">
        <f>Datos_Ventas!A322</f>
        <v>341</v>
      </c>
      <c r="B322" s="13">
        <f>Datos_Ventas!B322</f>
        <v>46248</v>
      </c>
      <c r="C322" t="str">
        <f t="shared" ref="C322:C385" si="20">CHOOSE(MONTH(B322),"01 Ene","02 Feb","03 Mar","04 Abr","05 May","06 Jun","07 Jul","08 Ago","09 Sep","10 Oct","11 Nov","12 Dic")</f>
        <v>08 Ago</v>
      </c>
      <c r="D322" t="str">
        <f t="shared" ref="D322:D385" si="21">"T"&amp;ROUNDUP(MONTH(B322)/3,0)</f>
        <v>T3</v>
      </c>
      <c r="E322" t="str">
        <f>INDEX(Productos!$B$2:$B$11,MATCH(Datos_Ventas!D322,Productos!$A$2:$A$11,0))</f>
        <v>Snack Dental</v>
      </c>
      <c r="F322" t="str">
        <f>INDEX(Productos!$C$2:$C$11,MATCH(Datos_Ventas!D322,Productos!$A$2:$A$11,0))</f>
        <v>Snacks</v>
      </c>
      <c r="G322" t="str">
        <f>INDEX(Clientes!$B$2:$B$11,MATCH(Datos_Ventas!C322,Clientes!$A$2:$A$11,0))</f>
        <v>Mayorista del Sol</v>
      </c>
      <c r="H322" t="str">
        <f>INDEX(Clientes!$C$2:$C$11,MATCH(Datos_Ventas!C322,Clientes!$A$2:$A$11,0))</f>
        <v>Mayorista</v>
      </c>
      <c r="I322" t="str">
        <f>INDEX(Clientes!$D$2:$D$11,MATCH(Datos_Ventas!C322,Clientes!$A$2:$A$11,0))</f>
        <v>San Martín</v>
      </c>
      <c r="J322">
        <f>Datos_Ventas!E322</f>
        <v>36</v>
      </c>
      <c r="K322" s="29">
        <f>Datos_Ventas!F322</f>
        <v>3430</v>
      </c>
      <c r="L322" s="29">
        <f>Datos_Ventas!G322</f>
        <v>123480</v>
      </c>
      <c r="M322" s="29">
        <f>J322*INDEX(Productos!$D$2:$D$11,MATCH(Datos_Ventas!D322,Productos!$A$2:$A$11,0))</f>
        <v>64800</v>
      </c>
      <c r="N322" s="29">
        <f t="shared" ref="N322:N385" si="22">L322-M322</f>
        <v>58680</v>
      </c>
      <c r="O322" s="30">
        <f>K322/INDEX(Productos!$E$2:$E$11,MATCH(Datos_Ventas!D322,Productos!$A$2:$A$11,0))-1</f>
        <v>7.1874999999999911E-2</v>
      </c>
      <c r="P322">
        <f t="shared" ref="P322:P385" si="23">SUBTOTAL(103,A322)</f>
        <v>1</v>
      </c>
    </row>
    <row r="323" spans="1:16" x14ac:dyDescent="0.2">
      <c r="A323">
        <f>Datos_Ventas!A323</f>
        <v>342</v>
      </c>
      <c r="B323" s="13">
        <f>Datos_Ventas!B323</f>
        <v>46248</v>
      </c>
      <c r="C323" t="str">
        <f t="shared" si="20"/>
        <v>08 Ago</v>
      </c>
      <c r="D323" t="str">
        <f t="shared" si="21"/>
        <v>T3</v>
      </c>
      <c r="E323" t="str">
        <f>INDEX(Productos!$B$2:$B$11,MATCH(Datos_Ventas!D323,Productos!$A$2:$A$11,0))</f>
        <v>Alimento Premium 10kg</v>
      </c>
      <c r="F323" t="str">
        <f>INDEX(Productos!$C$2:$C$11,MATCH(Datos_Ventas!D323,Productos!$A$2:$A$11,0))</f>
        <v>Alimentos</v>
      </c>
      <c r="G323" t="str">
        <f>INDEX(Clientes!$B$2:$B$11,MATCH(Datos_Ventas!C323,Clientes!$A$2:$A$11,0))</f>
        <v>Supermercado Cuyo</v>
      </c>
      <c r="H323" t="str">
        <f>INDEX(Clientes!$C$2:$C$11,MATCH(Datos_Ventas!C323,Clientes!$A$2:$A$11,0))</f>
        <v>Retail</v>
      </c>
      <c r="I323" t="str">
        <f>INDEX(Clientes!$D$2:$D$11,MATCH(Datos_Ventas!C323,Clientes!$A$2:$A$11,0))</f>
        <v>Guaymallén</v>
      </c>
      <c r="J323">
        <f>Datos_Ventas!E323</f>
        <v>2</v>
      </c>
      <c r="K323" s="29">
        <f>Datos_Ventas!F323</f>
        <v>18390</v>
      </c>
      <c r="L323" s="29">
        <f>Datos_Ventas!G323</f>
        <v>36780</v>
      </c>
      <c r="M323" s="29">
        <f>J323*INDEX(Productos!$D$2:$D$11,MATCH(Datos_Ventas!D323,Productos!$A$2:$A$11,0))</f>
        <v>25000</v>
      </c>
      <c r="N323" s="29">
        <f t="shared" si="22"/>
        <v>11780</v>
      </c>
      <c r="O323" s="30">
        <f>K323/INDEX(Productos!$E$2:$E$11,MATCH(Datos_Ventas!D323,Productos!$A$2:$A$11,0))-1</f>
        <v>-2.6984126984126999E-2</v>
      </c>
      <c r="P323">
        <f t="shared" si="23"/>
        <v>1</v>
      </c>
    </row>
    <row r="324" spans="1:16" x14ac:dyDescent="0.2">
      <c r="A324">
        <f>Datos_Ventas!A324</f>
        <v>343</v>
      </c>
      <c r="B324" s="13">
        <f>Datos_Ventas!B324</f>
        <v>46249</v>
      </c>
      <c r="C324" t="str">
        <f t="shared" si="20"/>
        <v>08 Ago</v>
      </c>
      <c r="D324" t="str">
        <f t="shared" si="21"/>
        <v>T3</v>
      </c>
      <c r="E324" t="str">
        <f>INDEX(Productos!$B$2:$B$11,MATCH(Datos_Ventas!D324,Productos!$A$2:$A$11,0))</f>
        <v>Correa Reforzada</v>
      </c>
      <c r="F324" t="str">
        <f>INDEX(Productos!$C$2:$C$11,MATCH(Datos_Ventas!D324,Productos!$A$2:$A$11,0))</f>
        <v>Accesorios</v>
      </c>
      <c r="G324" t="str">
        <f>INDEX(Clientes!$B$2:$B$11,MATCH(Datos_Ventas!C324,Clientes!$A$2:$A$11,0))</f>
        <v>Distribuidora Andes</v>
      </c>
      <c r="H324" t="str">
        <f>INDEX(Clientes!$C$2:$C$11,MATCH(Datos_Ventas!C324,Clientes!$A$2:$A$11,0))</f>
        <v>Mayorista</v>
      </c>
      <c r="I324" t="str">
        <f>INDEX(Clientes!$D$2:$D$11,MATCH(Datos_Ventas!C324,Clientes!$A$2:$A$11,0))</f>
        <v>Mendoza</v>
      </c>
      <c r="J324">
        <f>Datos_Ventas!E324</f>
        <v>34</v>
      </c>
      <c r="K324" s="29">
        <f>Datos_Ventas!F324</f>
        <v>4850</v>
      </c>
      <c r="L324" s="29">
        <f>Datos_Ventas!G324</f>
        <v>164900</v>
      </c>
      <c r="M324" s="29">
        <f>J324*INDEX(Productos!$D$2:$D$11,MATCH(Datos_Ventas!D324,Productos!$A$2:$A$11,0))</f>
        <v>95200</v>
      </c>
      <c r="N324" s="29">
        <f t="shared" si="22"/>
        <v>69700</v>
      </c>
      <c r="O324" s="30">
        <f>K324/INDEX(Productos!$E$2:$E$11,MATCH(Datos_Ventas!D324,Productos!$A$2:$A$11,0))-1</f>
        <v>-6.7307692307692291E-2</v>
      </c>
      <c r="P324">
        <f t="shared" si="23"/>
        <v>1</v>
      </c>
    </row>
    <row r="325" spans="1:16" x14ac:dyDescent="0.2">
      <c r="A325">
        <f>Datos_Ventas!A325</f>
        <v>344</v>
      </c>
      <c r="B325" s="13">
        <f>Datos_Ventas!B325</f>
        <v>46249</v>
      </c>
      <c r="C325" t="str">
        <f t="shared" si="20"/>
        <v>08 Ago</v>
      </c>
      <c r="D325" t="str">
        <f t="shared" si="21"/>
        <v>T3</v>
      </c>
      <c r="E325" t="str">
        <f>INDEX(Productos!$B$2:$B$11,MATCH(Datos_Ventas!D325,Productos!$A$2:$A$11,0))</f>
        <v>Galletas Perro</v>
      </c>
      <c r="F325" t="str">
        <f>INDEX(Productos!$C$2:$C$11,MATCH(Datos_Ventas!D325,Productos!$A$2:$A$11,0))</f>
        <v>Snacks</v>
      </c>
      <c r="G325" t="str">
        <f>INDEX(Clientes!$B$2:$B$11,MATCH(Datos_Ventas!C325,Clientes!$A$2:$A$11,0))</f>
        <v>Veterinaria Sur</v>
      </c>
      <c r="H325" t="str">
        <f>INDEX(Clientes!$C$2:$C$11,MATCH(Datos_Ventas!C325,Clientes!$A$2:$A$11,0))</f>
        <v>Especializado</v>
      </c>
      <c r="I325" t="str">
        <f>INDEX(Clientes!$D$2:$D$11,MATCH(Datos_Ventas!C325,Clientes!$A$2:$A$11,0))</f>
        <v>Godoy Cruz</v>
      </c>
      <c r="J325">
        <f>Datos_Ventas!E325</f>
        <v>16</v>
      </c>
      <c r="K325" s="29">
        <f>Datos_Ventas!F325</f>
        <v>2620</v>
      </c>
      <c r="L325" s="29">
        <f>Datos_Ventas!G325</f>
        <v>41920</v>
      </c>
      <c r="M325" s="29">
        <f>J325*INDEX(Productos!$D$2:$D$11,MATCH(Datos_Ventas!D325,Productos!$A$2:$A$11,0))</f>
        <v>24000</v>
      </c>
      <c r="N325" s="29">
        <f t="shared" si="22"/>
        <v>17920</v>
      </c>
      <c r="O325" s="30">
        <f>K325/INDEX(Productos!$E$2:$E$11,MATCH(Datos_Ventas!D325,Productos!$A$2:$A$11,0))-1</f>
        <v>-2.9629629629629672E-2</v>
      </c>
      <c r="P325">
        <f t="shared" si="23"/>
        <v>1</v>
      </c>
    </row>
    <row r="326" spans="1:16" x14ac:dyDescent="0.2">
      <c r="A326">
        <f>Datos_Ventas!A326</f>
        <v>345</v>
      </c>
      <c r="B326" s="13">
        <f>Datos_Ventas!B326</f>
        <v>46250</v>
      </c>
      <c r="C326" t="str">
        <f t="shared" si="20"/>
        <v>08 Ago</v>
      </c>
      <c r="D326" t="str">
        <f t="shared" si="21"/>
        <v>T3</v>
      </c>
      <c r="E326" t="str">
        <f>INDEX(Productos!$B$2:$B$11,MATCH(Datos_Ventas!D326,Productos!$A$2:$A$11,0))</f>
        <v>Snack Dental</v>
      </c>
      <c r="F326" t="str">
        <f>INDEX(Productos!$C$2:$C$11,MATCH(Datos_Ventas!D326,Productos!$A$2:$A$11,0))</f>
        <v>Snacks</v>
      </c>
      <c r="G326" t="str">
        <f>INDEX(Clientes!$B$2:$B$11,MATCH(Datos_Ventas!C326,Clientes!$A$2:$A$11,0))</f>
        <v>Supermercado Cuyo</v>
      </c>
      <c r="H326" t="str">
        <f>INDEX(Clientes!$C$2:$C$11,MATCH(Datos_Ventas!C326,Clientes!$A$2:$A$11,0))</f>
        <v>Retail</v>
      </c>
      <c r="I326" t="str">
        <f>INDEX(Clientes!$D$2:$D$11,MATCH(Datos_Ventas!C326,Clientes!$A$2:$A$11,0))</f>
        <v>Guaymallén</v>
      </c>
      <c r="J326">
        <f>Datos_Ventas!E326</f>
        <v>1</v>
      </c>
      <c r="K326" s="29">
        <f>Datos_Ventas!F326</f>
        <v>3440</v>
      </c>
      <c r="L326" s="29">
        <f>Datos_Ventas!G326</f>
        <v>3440</v>
      </c>
      <c r="M326" s="29">
        <f>J326*INDEX(Productos!$D$2:$D$11,MATCH(Datos_Ventas!D326,Productos!$A$2:$A$11,0))</f>
        <v>1800</v>
      </c>
      <c r="N326" s="29">
        <f t="shared" si="22"/>
        <v>1640</v>
      </c>
      <c r="O326" s="30">
        <f>K326/INDEX(Productos!$E$2:$E$11,MATCH(Datos_Ventas!D326,Productos!$A$2:$A$11,0))-1</f>
        <v>7.4999999999999956E-2</v>
      </c>
      <c r="P326">
        <f t="shared" si="23"/>
        <v>1</v>
      </c>
    </row>
    <row r="327" spans="1:16" x14ac:dyDescent="0.2">
      <c r="A327">
        <f>Datos_Ventas!A327</f>
        <v>346</v>
      </c>
      <c r="B327" s="13">
        <f>Datos_Ventas!B327</f>
        <v>46250</v>
      </c>
      <c r="C327" t="str">
        <f t="shared" si="20"/>
        <v>08 Ago</v>
      </c>
      <c r="D327" t="str">
        <f t="shared" si="21"/>
        <v>T3</v>
      </c>
      <c r="E327" t="str">
        <f>INDEX(Productos!$B$2:$B$11,MATCH(Datos_Ventas!D327,Productos!$A$2:$A$11,0))</f>
        <v>Aceite Omega</v>
      </c>
      <c r="F327" t="str">
        <f>INDEX(Productos!$C$2:$C$11,MATCH(Datos_Ventas!D327,Productos!$A$2:$A$11,0))</f>
        <v>Suplementos</v>
      </c>
      <c r="G327" t="str">
        <f>INDEX(Clientes!$B$2:$B$11,MATCH(Datos_Ventas!C327,Clientes!$A$2:$A$11,0))</f>
        <v>Almacén Don Pedro</v>
      </c>
      <c r="H327" t="str">
        <f>INDEX(Clientes!$C$2:$C$11,MATCH(Datos_Ventas!C327,Clientes!$A$2:$A$11,0))</f>
        <v>Minorista</v>
      </c>
      <c r="I327" t="str">
        <f>INDEX(Clientes!$D$2:$D$11,MATCH(Datos_Ventas!C327,Clientes!$A$2:$A$11,0))</f>
        <v>Maipú</v>
      </c>
      <c r="J327">
        <f>Datos_Ventas!E327</f>
        <v>9</v>
      </c>
      <c r="K327" s="29">
        <f>Datos_Ventas!F327</f>
        <v>5380</v>
      </c>
      <c r="L327" s="29">
        <f>Datos_Ventas!G327</f>
        <v>48420</v>
      </c>
      <c r="M327" s="29">
        <f>J327*INDEX(Productos!$D$2:$D$11,MATCH(Datos_Ventas!D327,Productos!$A$2:$A$11,0))</f>
        <v>27900</v>
      </c>
      <c r="N327" s="29">
        <f t="shared" si="22"/>
        <v>20520</v>
      </c>
      <c r="O327" s="30">
        <f>K327/INDEX(Productos!$E$2:$E$11,MATCH(Datos_Ventas!D327,Productos!$A$2:$A$11,0))-1</f>
        <v>-3.9285714285714257E-2</v>
      </c>
      <c r="P327">
        <f t="shared" si="23"/>
        <v>1</v>
      </c>
    </row>
    <row r="328" spans="1:16" x14ac:dyDescent="0.2">
      <c r="A328">
        <f>Datos_Ventas!A328</f>
        <v>347</v>
      </c>
      <c r="B328" s="13">
        <f>Datos_Ventas!B328</f>
        <v>46250</v>
      </c>
      <c r="C328" t="str">
        <f t="shared" si="20"/>
        <v>08 Ago</v>
      </c>
      <c r="D328" t="str">
        <f t="shared" si="21"/>
        <v>T3</v>
      </c>
      <c r="E328" t="str">
        <f>INDEX(Productos!$B$2:$B$11,MATCH(Datos_Ventas!D328,Productos!$A$2:$A$11,0))</f>
        <v>Arena Sanitaria</v>
      </c>
      <c r="F328" t="str">
        <f>INDEX(Productos!$C$2:$C$11,MATCH(Datos_Ventas!D328,Productos!$A$2:$A$11,0))</f>
        <v>Higiene</v>
      </c>
      <c r="G328" t="str">
        <f>INDEX(Clientes!$B$2:$B$11,MATCH(Datos_Ventas!C328,Clientes!$A$2:$A$11,0))</f>
        <v>Distribuidora Andes</v>
      </c>
      <c r="H328" t="str">
        <f>INDEX(Clientes!$C$2:$C$11,MATCH(Datos_Ventas!C328,Clientes!$A$2:$A$11,0))</f>
        <v>Mayorista</v>
      </c>
      <c r="I328" t="str">
        <f>INDEX(Clientes!$D$2:$D$11,MATCH(Datos_Ventas!C328,Clientes!$A$2:$A$11,0))</f>
        <v>Mendoza</v>
      </c>
      <c r="J328">
        <f>Datos_Ventas!E328</f>
        <v>34</v>
      </c>
      <c r="K328" s="29">
        <f>Datos_Ventas!F328</f>
        <v>4630</v>
      </c>
      <c r="L328" s="29">
        <f>Datos_Ventas!G328</f>
        <v>157420</v>
      </c>
      <c r="M328" s="29">
        <f>J328*INDEX(Productos!$D$2:$D$11,MATCH(Datos_Ventas!D328,Productos!$A$2:$A$11,0))</f>
        <v>88400</v>
      </c>
      <c r="N328" s="29">
        <f t="shared" si="22"/>
        <v>69020</v>
      </c>
      <c r="O328" s="30">
        <f>K328/INDEX(Productos!$E$2:$E$11,MATCH(Datos_Ventas!D328,Productos!$A$2:$A$11,0))-1</f>
        <v>5.2272727272727249E-2</v>
      </c>
      <c r="P328">
        <f t="shared" si="23"/>
        <v>1</v>
      </c>
    </row>
    <row r="329" spans="1:16" x14ac:dyDescent="0.2">
      <c r="A329">
        <f>Datos_Ventas!A329</f>
        <v>348</v>
      </c>
      <c r="B329" s="13">
        <f>Datos_Ventas!B329</f>
        <v>46253</v>
      </c>
      <c r="C329" t="str">
        <f t="shared" si="20"/>
        <v>08 Ago</v>
      </c>
      <c r="D329" t="str">
        <f t="shared" si="21"/>
        <v>T3</v>
      </c>
      <c r="E329" t="str">
        <f>INDEX(Productos!$B$2:$B$11,MATCH(Datos_Ventas!D329,Productos!$A$2:$A$11,0))</f>
        <v>Snack Dental</v>
      </c>
      <c r="F329" t="str">
        <f>INDEX(Productos!$C$2:$C$11,MATCH(Datos_Ventas!D329,Productos!$A$2:$A$11,0))</f>
        <v>Snacks</v>
      </c>
      <c r="G329" t="str">
        <f>INDEX(Clientes!$B$2:$B$11,MATCH(Datos_Ventas!C329,Clientes!$A$2:$A$11,0))</f>
        <v>Hiper Centro</v>
      </c>
      <c r="H329" t="str">
        <f>INDEX(Clientes!$C$2:$C$11,MATCH(Datos_Ventas!C329,Clientes!$A$2:$A$11,0))</f>
        <v>Retail</v>
      </c>
      <c r="I329" t="str">
        <f>INDEX(Clientes!$D$2:$D$11,MATCH(Datos_Ventas!C329,Clientes!$A$2:$A$11,0))</f>
        <v>Luján de Cuyo</v>
      </c>
      <c r="J329">
        <f>Datos_Ventas!E329</f>
        <v>10</v>
      </c>
      <c r="K329" s="29">
        <f>Datos_Ventas!F329</f>
        <v>3320</v>
      </c>
      <c r="L329" s="29">
        <f>Datos_Ventas!G329</f>
        <v>33200</v>
      </c>
      <c r="M329" s="29">
        <f>J329*INDEX(Productos!$D$2:$D$11,MATCH(Datos_Ventas!D329,Productos!$A$2:$A$11,0))</f>
        <v>18000</v>
      </c>
      <c r="N329" s="29">
        <f t="shared" si="22"/>
        <v>15200</v>
      </c>
      <c r="O329" s="30">
        <f>K329/INDEX(Productos!$E$2:$E$11,MATCH(Datos_Ventas!D329,Productos!$A$2:$A$11,0))-1</f>
        <v>3.7500000000000089E-2</v>
      </c>
      <c r="P329">
        <f t="shared" si="23"/>
        <v>1</v>
      </c>
    </row>
    <row r="330" spans="1:16" x14ac:dyDescent="0.2">
      <c r="A330">
        <f>Datos_Ventas!A330</f>
        <v>349</v>
      </c>
      <c r="B330" s="13">
        <f>Datos_Ventas!B330</f>
        <v>46254</v>
      </c>
      <c r="C330" t="str">
        <f t="shared" si="20"/>
        <v>08 Ago</v>
      </c>
      <c r="D330" t="str">
        <f t="shared" si="21"/>
        <v>T3</v>
      </c>
      <c r="E330" t="str">
        <f>INDEX(Productos!$B$2:$B$11,MATCH(Datos_Ventas!D330,Productos!$A$2:$A$11,0))</f>
        <v>Aceite Omega</v>
      </c>
      <c r="F330" t="str">
        <f>INDEX(Productos!$C$2:$C$11,MATCH(Datos_Ventas!D330,Productos!$A$2:$A$11,0))</f>
        <v>Suplementos</v>
      </c>
      <c r="G330" t="str">
        <f>INDEX(Clientes!$B$2:$B$11,MATCH(Datos_Ventas!C330,Clientes!$A$2:$A$11,0))</f>
        <v>Mayorista del Sol</v>
      </c>
      <c r="H330" t="str">
        <f>INDEX(Clientes!$C$2:$C$11,MATCH(Datos_Ventas!C330,Clientes!$A$2:$A$11,0))</f>
        <v>Mayorista</v>
      </c>
      <c r="I330" t="str">
        <f>INDEX(Clientes!$D$2:$D$11,MATCH(Datos_Ventas!C330,Clientes!$A$2:$A$11,0))</f>
        <v>San Martín</v>
      </c>
      <c r="J330">
        <f>Datos_Ventas!E330</f>
        <v>35</v>
      </c>
      <c r="K330" s="29">
        <f>Datos_Ventas!F330</f>
        <v>5520</v>
      </c>
      <c r="L330" s="29">
        <f>Datos_Ventas!G330</f>
        <v>193200</v>
      </c>
      <c r="M330" s="29">
        <f>J330*INDEX(Productos!$D$2:$D$11,MATCH(Datos_Ventas!D330,Productos!$A$2:$A$11,0))</f>
        <v>108500</v>
      </c>
      <c r="N330" s="29">
        <f t="shared" si="22"/>
        <v>84700</v>
      </c>
      <c r="O330" s="30">
        <f>K330/INDEX(Productos!$E$2:$E$11,MATCH(Datos_Ventas!D330,Productos!$A$2:$A$11,0))-1</f>
        <v>-1.4285714285714235E-2</v>
      </c>
      <c r="P330">
        <f t="shared" si="23"/>
        <v>1</v>
      </c>
    </row>
    <row r="331" spans="1:16" x14ac:dyDescent="0.2">
      <c r="A331">
        <f>Datos_Ventas!A331</f>
        <v>350</v>
      </c>
      <c r="B331" s="13">
        <f>Datos_Ventas!B331</f>
        <v>46255</v>
      </c>
      <c r="C331" t="str">
        <f t="shared" si="20"/>
        <v>08 Ago</v>
      </c>
      <c r="D331" t="str">
        <f t="shared" si="21"/>
        <v>T3</v>
      </c>
      <c r="E331" t="str">
        <f>INDEX(Productos!$B$2:$B$11,MATCH(Datos_Ventas!D331,Productos!$A$2:$A$11,0))</f>
        <v>Snack Dental</v>
      </c>
      <c r="F331" t="str">
        <f>INDEX(Productos!$C$2:$C$11,MATCH(Datos_Ventas!D331,Productos!$A$2:$A$11,0))</f>
        <v>Snacks</v>
      </c>
      <c r="G331" t="str">
        <f>INDEX(Clientes!$B$2:$B$11,MATCH(Datos_Ventas!C331,Clientes!$A$2:$A$11,0))</f>
        <v>Despensa Vero</v>
      </c>
      <c r="H331" t="str">
        <f>INDEX(Clientes!$C$2:$C$11,MATCH(Datos_Ventas!C331,Clientes!$A$2:$A$11,0))</f>
        <v>Minorista</v>
      </c>
      <c r="I331" t="str">
        <f>INDEX(Clientes!$D$2:$D$11,MATCH(Datos_Ventas!C331,Clientes!$A$2:$A$11,0))</f>
        <v>Mendoza</v>
      </c>
      <c r="J331">
        <f>Datos_Ventas!E331</f>
        <v>9</v>
      </c>
      <c r="K331" s="29">
        <f>Datos_Ventas!F331</f>
        <v>3300</v>
      </c>
      <c r="L331" s="29">
        <f>Datos_Ventas!G331</f>
        <v>29700</v>
      </c>
      <c r="M331" s="29">
        <f>J331*INDEX(Productos!$D$2:$D$11,MATCH(Datos_Ventas!D331,Productos!$A$2:$A$11,0))</f>
        <v>16200</v>
      </c>
      <c r="N331" s="29">
        <f t="shared" si="22"/>
        <v>13500</v>
      </c>
      <c r="O331" s="30">
        <f>K331/INDEX(Productos!$E$2:$E$11,MATCH(Datos_Ventas!D331,Productos!$A$2:$A$11,0))-1</f>
        <v>3.125E-2</v>
      </c>
      <c r="P331">
        <f t="shared" si="23"/>
        <v>1</v>
      </c>
    </row>
    <row r="332" spans="1:16" x14ac:dyDescent="0.2">
      <c r="A332">
        <f>Datos_Ventas!A332</f>
        <v>351</v>
      </c>
      <c r="B332" s="13">
        <f>Datos_Ventas!B332</f>
        <v>46255</v>
      </c>
      <c r="C332" t="str">
        <f t="shared" si="20"/>
        <v>08 Ago</v>
      </c>
      <c r="D332" t="str">
        <f t="shared" si="21"/>
        <v>T3</v>
      </c>
      <c r="E332" t="str">
        <f>INDEX(Productos!$B$2:$B$11,MATCH(Datos_Ventas!D332,Productos!$A$2:$A$11,0))</f>
        <v>Alimento Balanceado 15kg</v>
      </c>
      <c r="F332" t="str">
        <f>INDEX(Productos!$C$2:$C$11,MATCH(Datos_Ventas!D332,Productos!$A$2:$A$11,0))</f>
        <v>Alimentos</v>
      </c>
      <c r="G332" t="str">
        <f>INDEX(Clientes!$B$2:$B$11,MATCH(Datos_Ventas!C332,Clientes!$A$2:$A$11,0))</f>
        <v>Distribuidora Andes</v>
      </c>
      <c r="H332" t="str">
        <f>INDEX(Clientes!$C$2:$C$11,MATCH(Datos_Ventas!C332,Clientes!$A$2:$A$11,0))</f>
        <v>Mayorista</v>
      </c>
      <c r="I332" t="str">
        <f>INDEX(Clientes!$D$2:$D$11,MATCH(Datos_Ventas!C332,Clientes!$A$2:$A$11,0))</f>
        <v>Mendoza</v>
      </c>
      <c r="J332">
        <f>Datos_Ventas!E332</f>
        <v>6</v>
      </c>
      <c r="K332" s="29">
        <f>Datos_Ventas!F332</f>
        <v>13610</v>
      </c>
      <c r="L332" s="29">
        <f>Datos_Ventas!G332</f>
        <v>81660</v>
      </c>
      <c r="M332" s="29">
        <f>J332*INDEX(Productos!$D$2:$D$11,MATCH(Datos_Ventas!D332,Productos!$A$2:$A$11,0))</f>
        <v>58800</v>
      </c>
      <c r="N332" s="29">
        <f t="shared" si="22"/>
        <v>22860</v>
      </c>
      <c r="O332" s="30">
        <f>K332/INDEX(Productos!$E$2:$E$11,MATCH(Datos_Ventas!D332,Productos!$A$2:$A$11,0))-1</f>
        <v>-6.1379310344827576E-2</v>
      </c>
      <c r="P332">
        <f t="shared" si="23"/>
        <v>1</v>
      </c>
    </row>
    <row r="333" spans="1:16" x14ac:dyDescent="0.2">
      <c r="A333">
        <f>Datos_Ventas!A333</f>
        <v>352</v>
      </c>
      <c r="B333" s="13">
        <f>Datos_Ventas!B333</f>
        <v>46255</v>
      </c>
      <c r="C333" t="str">
        <f t="shared" si="20"/>
        <v>08 Ago</v>
      </c>
      <c r="D333" t="str">
        <f t="shared" si="21"/>
        <v>T3</v>
      </c>
      <c r="E333" t="str">
        <f>INDEX(Productos!$B$2:$B$11,MATCH(Datos_Ventas!D333,Productos!$A$2:$A$11,0))</f>
        <v>Alimento Balanceado 15kg</v>
      </c>
      <c r="F333" t="str">
        <f>INDEX(Productos!$C$2:$C$11,MATCH(Datos_Ventas!D333,Productos!$A$2:$A$11,0))</f>
        <v>Alimentos</v>
      </c>
      <c r="G333" t="str">
        <f>INDEX(Clientes!$B$2:$B$11,MATCH(Datos_Ventas!C333,Clientes!$A$2:$A$11,0))</f>
        <v>Despensa Vero</v>
      </c>
      <c r="H333" t="str">
        <f>INDEX(Clientes!$C$2:$C$11,MATCH(Datos_Ventas!C333,Clientes!$A$2:$A$11,0))</f>
        <v>Minorista</v>
      </c>
      <c r="I333" t="str">
        <f>INDEX(Clientes!$D$2:$D$11,MATCH(Datos_Ventas!C333,Clientes!$A$2:$A$11,0))</f>
        <v>Mendoza</v>
      </c>
      <c r="J333">
        <f>Datos_Ventas!E333</f>
        <v>14</v>
      </c>
      <c r="K333" s="29">
        <f>Datos_Ventas!F333</f>
        <v>15380</v>
      </c>
      <c r="L333" s="29">
        <f>Datos_Ventas!G333</f>
        <v>215320</v>
      </c>
      <c r="M333" s="29">
        <f>J333*INDEX(Productos!$D$2:$D$11,MATCH(Datos_Ventas!D333,Productos!$A$2:$A$11,0))</f>
        <v>137200</v>
      </c>
      <c r="N333" s="29">
        <f t="shared" si="22"/>
        <v>78120</v>
      </c>
      <c r="O333" s="30">
        <f>K333/INDEX(Productos!$E$2:$E$11,MATCH(Datos_Ventas!D333,Productos!$A$2:$A$11,0))-1</f>
        <v>6.068965517241387E-2</v>
      </c>
      <c r="P333">
        <f t="shared" si="23"/>
        <v>1</v>
      </c>
    </row>
    <row r="334" spans="1:16" x14ac:dyDescent="0.2">
      <c r="A334">
        <f>Datos_Ventas!A334</f>
        <v>353</v>
      </c>
      <c r="B334" s="13">
        <f>Datos_Ventas!B334</f>
        <v>46257</v>
      </c>
      <c r="C334" t="str">
        <f t="shared" si="20"/>
        <v>08 Ago</v>
      </c>
      <c r="D334" t="str">
        <f t="shared" si="21"/>
        <v>T3</v>
      </c>
      <c r="E334" t="str">
        <f>INDEX(Productos!$B$2:$B$11,MATCH(Datos_Ventas!D334,Productos!$A$2:$A$11,0))</f>
        <v>Arena Sanitaria</v>
      </c>
      <c r="F334" t="str">
        <f>INDEX(Productos!$C$2:$C$11,MATCH(Datos_Ventas!D334,Productos!$A$2:$A$11,0))</f>
        <v>Higiene</v>
      </c>
      <c r="G334" t="str">
        <f>INDEX(Clientes!$B$2:$B$11,MATCH(Datos_Ventas!C334,Clientes!$A$2:$A$11,0))</f>
        <v>Mayorista del Sol</v>
      </c>
      <c r="H334" t="str">
        <f>INDEX(Clientes!$C$2:$C$11,MATCH(Datos_Ventas!C334,Clientes!$A$2:$A$11,0))</f>
        <v>Mayorista</v>
      </c>
      <c r="I334" t="str">
        <f>INDEX(Clientes!$D$2:$D$11,MATCH(Datos_Ventas!C334,Clientes!$A$2:$A$11,0))</f>
        <v>San Martín</v>
      </c>
      <c r="J334">
        <f>Datos_Ventas!E334</f>
        <v>12</v>
      </c>
      <c r="K334" s="29">
        <f>Datos_Ventas!F334</f>
        <v>4170</v>
      </c>
      <c r="L334" s="29">
        <f>Datos_Ventas!G334</f>
        <v>50040</v>
      </c>
      <c r="M334" s="29">
        <f>J334*INDEX(Productos!$D$2:$D$11,MATCH(Datos_Ventas!D334,Productos!$A$2:$A$11,0))</f>
        <v>31200</v>
      </c>
      <c r="N334" s="29">
        <f t="shared" si="22"/>
        <v>18840</v>
      </c>
      <c r="O334" s="30">
        <f>K334/INDEX(Productos!$E$2:$E$11,MATCH(Datos_Ventas!D334,Productos!$A$2:$A$11,0))-1</f>
        <v>-5.2272727272727249E-2</v>
      </c>
      <c r="P334">
        <f t="shared" si="23"/>
        <v>1</v>
      </c>
    </row>
    <row r="335" spans="1:16" x14ac:dyDescent="0.2">
      <c r="A335">
        <f>Datos_Ventas!A335</f>
        <v>354</v>
      </c>
      <c r="B335" s="13">
        <f>Datos_Ventas!B335</f>
        <v>46258</v>
      </c>
      <c r="C335" t="str">
        <f t="shared" si="20"/>
        <v>08 Ago</v>
      </c>
      <c r="D335" t="str">
        <f t="shared" si="21"/>
        <v>T3</v>
      </c>
      <c r="E335" t="str">
        <f>INDEX(Productos!$B$2:$B$11,MATCH(Datos_Ventas!D335,Productos!$A$2:$A$11,0))</f>
        <v>Juguete Pelota</v>
      </c>
      <c r="F335" t="str">
        <f>INDEX(Productos!$C$2:$C$11,MATCH(Datos_Ventas!D335,Productos!$A$2:$A$11,0))</f>
        <v>Accesorios</v>
      </c>
      <c r="G335" t="str">
        <f>INDEX(Clientes!$B$2:$B$11,MATCH(Datos_Ventas!C335,Clientes!$A$2:$A$11,0))</f>
        <v>Pet Shop Mascotas</v>
      </c>
      <c r="H335" t="str">
        <f>INDEX(Clientes!$C$2:$C$11,MATCH(Datos_Ventas!C335,Clientes!$A$2:$A$11,0))</f>
        <v>Especializado</v>
      </c>
      <c r="I335" t="str">
        <f>INDEX(Clientes!$D$2:$D$11,MATCH(Datos_Ventas!C335,Clientes!$A$2:$A$11,0))</f>
        <v>Mendoza</v>
      </c>
      <c r="J335">
        <f>Datos_Ventas!E335</f>
        <v>23</v>
      </c>
      <c r="K335" s="29">
        <f>Datos_Ventas!F335</f>
        <v>1800</v>
      </c>
      <c r="L335" s="29">
        <f>Datos_Ventas!G335</f>
        <v>41400</v>
      </c>
      <c r="M335" s="29">
        <f>J335*INDEX(Productos!$D$2:$D$11,MATCH(Datos_Ventas!D335,Productos!$A$2:$A$11,0))</f>
        <v>20700</v>
      </c>
      <c r="N335" s="29">
        <f t="shared" si="22"/>
        <v>20700</v>
      </c>
      <c r="O335" s="30">
        <f>K335/INDEX(Productos!$E$2:$E$11,MATCH(Datos_Ventas!D335,Productos!$A$2:$A$11,0))-1</f>
        <v>0</v>
      </c>
      <c r="P335">
        <f t="shared" si="23"/>
        <v>1</v>
      </c>
    </row>
    <row r="336" spans="1:16" x14ac:dyDescent="0.2">
      <c r="A336">
        <f>Datos_Ventas!A336</f>
        <v>355</v>
      </c>
      <c r="B336" s="13">
        <f>Datos_Ventas!B336</f>
        <v>46259</v>
      </c>
      <c r="C336" t="str">
        <f t="shared" si="20"/>
        <v>08 Ago</v>
      </c>
      <c r="D336" t="str">
        <f t="shared" si="21"/>
        <v>T3</v>
      </c>
      <c r="E336" t="str">
        <f>INDEX(Productos!$B$2:$B$11,MATCH(Datos_Ventas!D336,Productos!$A$2:$A$11,0))</f>
        <v>Juguete Pelota</v>
      </c>
      <c r="F336" t="str">
        <f>INDEX(Productos!$C$2:$C$11,MATCH(Datos_Ventas!D336,Productos!$A$2:$A$11,0))</f>
        <v>Accesorios</v>
      </c>
      <c r="G336" t="str">
        <f>INDEX(Clientes!$B$2:$B$11,MATCH(Datos_Ventas!C336,Clientes!$A$2:$A$11,0))</f>
        <v>Mayorista del Sol</v>
      </c>
      <c r="H336" t="str">
        <f>INDEX(Clientes!$C$2:$C$11,MATCH(Datos_Ventas!C336,Clientes!$A$2:$A$11,0))</f>
        <v>Mayorista</v>
      </c>
      <c r="I336" t="str">
        <f>INDEX(Clientes!$D$2:$D$11,MATCH(Datos_Ventas!C336,Clientes!$A$2:$A$11,0))</f>
        <v>San Martín</v>
      </c>
      <c r="J336">
        <f>Datos_Ventas!E336</f>
        <v>23</v>
      </c>
      <c r="K336" s="29">
        <f>Datos_Ventas!F336</f>
        <v>1910</v>
      </c>
      <c r="L336" s="29">
        <f>Datos_Ventas!G336</f>
        <v>43930</v>
      </c>
      <c r="M336" s="29">
        <f>J336*INDEX(Productos!$D$2:$D$11,MATCH(Datos_Ventas!D336,Productos!$A$2:$A$11,0))</f>
        <v>20700</v>
      </c>
      <c r="N336" s="29">
        <f t="shared" si="22"/>
        <v>23230</v>
      </c>
      <c r="O336" s="30">
        <f>K336/INDEX(Productos!$E$2:$E$11,MATCH(Datos_Ventas!D336,Productos!$A$2:$A$11,0))-1</f>
        <v>6.1111111111111116E-2</v>
      </c>
      <c r="P336">
        <f t="shared" si="23"/>
        <v>1</v>
      </c>
    </row>
    <row r="337" spans="1:16" x14ac:dyDescent="0.2">
      <c r="A337">
        <f>Datos_Ventas!A337</f>
        <v>356</v>
      </c>
      <c r="B337" s="13">
        <f>Datos_Ventas!B337</f>
        <v>46259</v>
      </c>
      <c r="C337" t="str">
        <f t="shared" si="20"/>
        <v>08 Ago</v>
      </c>
      <c r="D337" t="str">
        <f t="shared" si="21"/>
        <v>T3</v>
      </c>
      <c r="E337" t="str">
        <f>INDEX(Productos!$B$2:$B$11,MATCH(Datos_Ventas!D337,Productos!$A$2:$A$11,0))</f>
        <v>Shampoo Mascotas</v>
      </c>
      <c r="F337" t="str">
        <f>INDEX(Productos!$C$2:$C$11,MATCH(Datos_Ventas!D337,Productos!$A$2:$A$11,0))</f>
        <v>Higiene</v>
      </c>
      <c r="G337" t="str">
        <f>INDEX(Clientes!$B$2:$B$11,MATCH(Datos_Ventas!C337,Clientes!$A$2:$A$11,0))</f>
        <v>Autoservicio Norte</v>
      </c>
      <c r="H337" t="str">
        <f>INDEX(Clientes!$C$2:$C$11,MATCH(Datos_Ventas!C337,Clientes!$A$2:$A$11,0))</f>
        <v>Retail</v>
      </c>
      <c r="I337" t="str">
        <f>INDEX(Clientes!$D$2:$D$11,MATCH(Datos_Ventas!C337,Clientes!$A$2:$A$11,0))</f>
        <v>Las Heras</v>
      </c>
      <c r="J337">
        <f>Datos_Ventas!E337</f>
        <v>7</v>
      </c>
      <c r="K337" s="29">
        <f>Datos_Ventas!F337</f>
        <v>4080</v>
      </c>
      <c r="L337" s="29">
        <f>Datos_Ventas!G337</f>
        <v>28560</v>
      </c>
      <c r="M337" s="29">
        <f>J337*INDEX(Productos!$D$2:$D$11,MATCH(Datos_Ventas!D337,Productos!$A$2:$A$11,0))</f>
        <v>15400</v>
      </c>
      <c r="N337" s="29">
        <f t="shared" si="22"/>
        <v>13160</v>
      </c>
      <c r="O337" s="30">
        <f>K337/INDEX(Productos!$E$2:$E$11,MATCH(Datos_Ventas!D337,Productos!$A$2:$A$11,0))-1</f>
        <v>4.6153846153846212E-2</v>
      </c>
      <c r="P337">
        <f t="shared" si="23"/>
        <v>1</v>
      </c>
    </row>
    <row r="338" spans="1:16" x14ac:dyDescent="0.2">
      <c r="A338">
        <f>Datos_Ventas!A338</f>
        <v>357</v>
      </c>
      <c r="B338" s="13">
        <f>Datos_Ventas!B338</f>
        <v>46259</v>
      </c>
      <c r="C338" t="str">
        <f t="shared" si="20"/>
        <v>08 Ago</v>
      </c>
      <c r="D338" t="str">
        <f t="shared" si="21"/>
        <v>T3</v>
      </c>
      <c r="E338" t="str">
        <f>INDEX(Productos!$B$2:$B$11,MATCH(Datos_Ventas!D338,Productos!$A$2:$A$11,0))</f>
        <v>Juguete Pelota</v>
      </c>
      <c r="F338" t="str">
        <f>INDEX(Productos!$C$2:$C$11,MATCH(Datos_Ventas!D338,Productos!$A$2:$A$11,0))</f>
        <v>Accesorios</v>
      </c>
      <c r="G338" t="str">
        <f>INDEX(Clientes!$B$2:$B$11,MATCH(Datos_Ventas!C338,Clientes!$A$2:$A$11,0))</f>
        <v>Mayorista del Sol</v>
      </c>
      <c r="H338" t="str">
        <f>INDEX(Clientes!$C$2:$C$11,MATCH(Datos_Ventas!C338,Clientes!$A$2:$A$11,0))</f>
        <v>Mayorista</v>
      </c>
      <c r="I338" t="str">
        <f>INDEX(Clientes!$D$2:$D$11,MATCH(Datos_Ventas!C338,Clientes!$A$2:$A$11,0))</f>
        <v>San Martín</v>
      </c>
      <c r="J338">
        <f>Datos_Ventas!E338</f>
        <v>33</v>
      </c>
      <c r="K338" s="29">
        <f>Datos_Ventas!F338</f>
        <v>1750</v>
      </c>
      <c r="L338" s="29">
        <f>Datos_Ventas!G338</f>
        <v>57750</v>
      </c>
      <c r="M338" s="29">
        <f>J338*INDEX(Productos!$D$2:$D$11,MATCH(Datos_Ventas!D338,Productos!$A$2:$A$11,0))</f>
        <v>29700</v>
      </c>
      <c r="N338" s="29">
        <f t="shared" si="22"/>
        <v>28050</v>
      </c>
      <c r="O338" s="30">
        <f>K338/INDEX(Productos!$E$2:$E$11,MATCH(Datos_Ventas!D338,Productos!$A$2:$A$11,0))-1</f>
        <v>-2.777777777777779E-2</v>
      </c>
      <c r="P338">
        <f t="shared" si="23"/>
        <v>1</v>
      </c>
    </row>
    <row r="339" spans="1:16" x14ac:dyDescent="0.2">
      <c r="A339">
        <f>Datos_Ventas!A339</f>
        <v>358</v>
      </c>
      <c r="B339" s="13">
        <f>Datos_Ventas!B339</f>
        <v>46259</v>
      </c>
      <c r="C339" t="str">
        <f t="shared" si="20"/>
        <v>08 Ago</v>
      </c>
      <c r="D339" t="str">
        <f t="shared" si="21"/>
        <v>T3</v>
      </c>
      <c r="E339" t="str">
        <f>INDEX(Productos!$B$2:$B$11,MATCH(Datos_Ventas!D339,Productos!$A$2:$A$11,0))</f>
        <v>Shampoo Mascotas</v>
      </c>
      <c r="F339" t="str">
        <f>INDEX(Productos!$C$2:$C$11,MATCH(Datos_Ventas!D339,Productos!$A$2:$A$11,0))</f>
        <v>Higiene</v>
      </c>
      <c r="G339" t="str">
        <f>INDEX(Clientes!$B$2:$B$11,MATCH(Datos_Ventas!C339,Clientes!$A$2:$A$11,0))</f>
        <v>Mayorista del Sol</v>
      </c>
      <c r="H339" t="str">
        <f>INDEX(Clientes!$C$2:$C$11,MATCH(Datos_Ventas!C339,Clientes!$A$2:$A$11,0))</f>
        <v>Mayorista</v>
      </c>
      <c r="I339" t="str">
        <f>INDEX(Clientes!$D$2:$D$11,MATCH(Datos_Ventas!C339,Clientes!$A$2:$A$11,0))</f>
        <v>San Martín</v>
      </c>
      <c r="J339">
        <f>Datos_Ventas!E339</f>
        <v>39</v>
      </c>
      <c r="K339" s="29">
        <f>Datos_Ventas!F339</f>
        <v>4170</v>
      </c>
      <c r="L339" s="29">
        <f>Datos_Ventas!G339</f>
        <v>162630</v>
      </c>
      <c r="M339" s="29">
        <f>J339*INDEX(Productos!$D$2:$D$11,MATCH(Datos_Ventas!D339,Productos!$A$2:$A$11,0))</f>
        <v>85800</v>
      </c>
      <c r="N339" s="29">
        <f t="shared" si="22"/>
        <v>76830</v>
      </c>
      <c r="O339" s="30">
        <f>K339/INDEX(Productos!$E$2:$E$11,MATCH(Datos_Ventas!D339,Productos!$A$2:$A$11,0))-1</f>
        <v>6.9230769230769207E-2</v>
      </c>
      <c r="P339">
        <f t="shared" si="23"/>
        <v>1</v>
      </c>
    </row>
    <row r="340" spans="1:16" x14ac:dyDescent="0.2">
      <c r="A340">
        <f>Datos_Ventas!A340</f>
        <v>359</v>
      </c>
      <c r="B340" s="13">
        <f>Datos_Ventas!B340</f>
        <v>46261</v>
      </c>
      <c r="C340" t="str">
        <f t="shared" si="20"/>
        <v>08 Ago</v>
      </c>
      <c r="D340" t="str">
        <f t="shared" si="21"/>
        <v>T3</v>
      </c>
      <c r="E340" t="str">
        <f>INDEX(Productos!$B$2:$B$11,MATCH(Datos_Ventas!D340,Productos!$A$2:$A$11,0))</f>
        <v>Collar Ajustable</v>
      </c>
      <c r="F340" t="str">
        <f>INDEX(Productos!$C$2:$C$11,MATCH(Datos_Ventas!D340,Productos!$A$2:$A$11,0))</f>
        <v>Accesorios</v>
      </c>
      <c r="G340" t="str">
        <f>INDEX(Clientes!$B$2:$B$11,MATCH(Datos_Ventas!C340,Clientes!$A$2:$A$11,0))</f>
        <v>Mayorista del Sol</v>
      </c>
      <c r="H340" t="str">
        <f>INDEX(Clientes!$C$2:$C$11,MATCH(Datos_Ventas!C340,Clientes!$A$2:$A$11,0))</f>
        <v>Mayorista</v>
      </c>
      <c r="I340" t="str">
        <f>INDEX(Clientes!$D$2:$D$11,MATCH(Datos_Ventas!C340,Clientes!$A$2:$A$11,0))</f>
        <v>San Martín</v>
      </c>
      <c r="J340">
        <f>Datos_Ventas!E340</f>
        <v>40</v>
      </c>
      <c r="K340" s="29">
        <f>Datos_Ventas!F340</f>
        <v>3350</v>
      </c>
      <c r="L340" s="29">
        <f>Datos_Ventas!G340</f>
        <v>134000</v>
      </c>
      <c r="M340" s="29">
        <f>J340*INDEX(Productos!$D$2:$D$11,MATCH(Datos_Ventas!D340,Productos!$A$2:$A$11,0))</f>
        <v>76000</v>
      </c>
      <c r="N340" s="29">
        <f t="shared" si="22"/>
        <v>58000</v>
      </c>
      <c r="O340" s="30">
        <f>K340/INDEX(Productos!$E$2:$E$11,MATCH(Datos_Ventas!D340,Productos!$A$2:$A$11,0))-1</f>
        <v>-6.944444444444442E-2</v>
      </c>
      <c r="P340">
        <f t="shared" si="23"/>
        <v>1</v>
      </c>
    </row>
    <row r="341" spans="1:16" x14ac:dyDescent="0.2">
      <c r="A341">
        <f>Datos_Ventas!A341</f>
        <v>360</v>
      </c>
      <c r="B341" s="13">
        <f>Datos_Ventas!B341</f>
        <v>46261</v>
      </c>
      <c r="C341" t="str">
        <f t="shared" si="20"/>
        <v>08 Ago</v>
      </c>
      <c r="D341" t="str">
        <f t="shared" si="21"/>
        <v>T3</v>
      </c>
      <c r="E341" t="str">
        <f>INDEX(Productos!$B$2:$B$11,MATCH(Datos_Ventas!D341,Productos!$A$2:$A$11,0))</f>
        <v>Arena Sanitaria</v>
      </c>
      <c r="F341" t="str">
        <f>INDEX(Productos!$C$2:$C$11,MATCH(Datos_Ventas!D341,Productos!$A$2:$A$11,0))</f>
        <v>Higiene</v>
      </c>
      <c r="G341" t="str">
        <f>INDEX(Clientes!$B$2:$B$11,MATCH(Datos_Ventas!C341,Clientes!$A$2:$A$11,0))</f>
        <v>Kiosco La Esquina</v>
      </c>
      <c r="H341" t="str">
        <f>INDEX(Clientes!$C$2:$C$11,MATCH(Datos_Ventas!C341,Clientes!$A$2:$A$11,0))</f>
        <v>Minorista</v>
      </c>
      <c r="I341" t="str">
        <f>INDEX(Clientes!$D$2:$D$11,MATCH(Datos_Ventas!C341,Clientes!$A$2:$A$11,0))</f>
        <v>Godoy Cruz</v>
      </c>
      <c r="J341">
        <f>Datos_Ventas!E341</f>
        <v>1</v>
      </c>
      <c r="K341" s="29">
        <f>Datos_Ventas!F341</f>
        <v>4530</v>
      </c>
      <c r="L341" s="29">
        <f>Datos_Ventas!G341</f>
        <v>4530</v>
      </c>
      <c r="M341" s="29">
        <f>J341*INDEX(Productos!$D$2:$D$11,MATCH(Datos_Ventas!D341,Productos!$A$2:$A$11,0))</f>
        <v>2600</v>
      </c>
      <c r="N341" s="29">
        <f t="shared" si="22"/>
        <v>1930</v>
      </c>
      <c r="O341" s="30">
        <f>K341/INDEX(Productos!$E$2:$E$11,MATCH(Datos_Ventas!D341,Productos!$A$2:$A$11,0))-1</f>
        <v>2.9545454545454541E-2</v>
      </c>
      <c r="P341">
        <f t="shared" si="23"/>
        <v>1</v>
      </c>
    </row>
    <row r="342" spans="1:16" x14ac:dyDescent="0.2">
      <c r="A342">
        <f>Datos_Ventas!A342</f>
        <v>361</v>
      </c>
      <c r="B342" s="13">
        <f>Datos_Ventas!B342</f>
        <v>46261</v>
      </c>
      <c r="C342" t="str">
        <f t="shared" si="20"/>
        <v>08 Ago</v>
      </c>
      <c r="D342" t="str">
        <f t="shared" si="21"/>
        <v>T3</v>
      </c>
      <c r="E342" t="str">
        <f>INDEX(Productos!$B$2:$B$11,MATCH(Datos_Ventas!D342,Productos!$A$2:$A$11,0))</f>
        <v>Alimento Premium 10kg</v>
      </c>
      <c r="F342" t="str">
        <f>INDEX(Productos!$C$2:$C$11,MATCH(Datos_Ventas!D342,Productos!$A$2:$A$11,0))</f>
        <v>Alimentos</v>
      </c>
      <c r="G342" t="str">
        <f>INDEX(Clientes!$B$2:$B$11,MATCH(Datos_Ventas!C342,Clientes!$A$2:$A$11,0))</f>
        <v>Despensa Vero</v>
      </c>
      <c r="H342" t="str">
        <f>INDEX(Clientes!$C$2:$C$11,MATCH(Datos_Ventas!C342,Clientes!$A$2:$A$11,0))</f>
        <v>Minorista</v>
      </c>
      <c r="I342" t="str">
        <f>INDEX(Clientes!$D$2:$D$11,MATCH(Datos_Ventas!C342,Clientes!$A$2:$A$11,0))</f>
        <v>Mendoza</v>
      </c>
      <c r="J342">
        <f>Datos_Ventas!E342</f>
        <v>11</v>
      </c>
      <c r="K342" s="29">
        <f>Datos_Ventas!F342</f>
        <v>19710</v>
      </c>
      <c r="L342" s="29">
        <f>Datos_Ventas!G342</f>
        <v>216810</v>
      </c>
      <c r="M342" s="29">
        <f>J342*INDEX(Productos!$D$2:$D$11,MATCH(Datos_Ventas!D342,Productos!$A$2:$A$11,0))</f>
        <v>137500</v>
      </c>
      <c r="N342" s="29">
        <f t="shared" si="22"/>
        <v>79310</v>
      </c>
      <c r="O342" s="30">
        <f>K342/INDEX(Productos!$E$2:$E$11,MATCH(Datos_Ventas!D342,Productos!$A$2:$A$11,0))-1</f>
        <v>4.2857142857142927E-2</v>
      </c>
      <c r="P342">
        <f t="shared" si="23"/>
        <v>1</v>
      </c>
    </row>
    <row r="343" spans="1:16" x14ac:dyDescent="0.2">
      <c r="A343">
        <f>Datos_Ventas!A343</f>
        <v>362</v>
      </c>
      <c r="B343" s="13">
        <f>Datos_Ventas!B343</f>
        <v>46261</v>
      </c>
      <c r="C343" t="str">
        <f t="shared" si="20"/>
        <v>08 Ago</v>
      </c>
      <c r="D343" t="str">
        <f t="shared" si="21"/>
        <v>T3</v>
      </c>
      <c r="E343" t="str">
        <f>INDEX(Productos!$B$2:$B$11,MATCH(Datos_Ventas!D343,Productos!$A$2:$A$11,0))</f>
        <v>Correa Reforzada</v>
      </c>
      <c r="F343" t="str">
        <f>INDEX(Productos!$C$2:$C$11,MATCH(Datos_Ventas!D343,Productos!$A$2:$A$11,0))</f>
        <v>Accesorios</v>
      </c>
      <c r="G343" t="str">
        <f>INDEX(Clientes!$B$2:$B$11,MATCH(Datos_Ventas!C343,Clientes!$A$2:$A$11,0))</f>
        <v>Hiper Centro</v>
      </c>
      <c r="H343" t="str">
        <f>INDEX(Clientes!$C$2:$C$11,MATCH(Datos_Ventas!C343,Clientes!$A$2:$A$11,0))</f>
        <v>Retail</v>
      </c>
      <c r="I343" t="str">
        <f>INDEX(Clientes!$D$2:$D$11,MATCH(Datos_Ventas!C343,Clientes!$A$2:$A$11,0))</f>
        <v>Luján de Cuyo</v>
      </c>
      <c r="J343">
        <f>Datos_Ventas!E343</f>
        <v>36</v>
      </c>
      <c r="K343" s="29">
        <f>Datos_Ventas!F343</f>
        <v>5540</v>
      </c>
      <c r="L343" s="29">
        <f>Datos_Ventas!G343</f>
        <v>199440</v>
      </c>
      <c r="M343" s="29">
        <f>J343*INDEX(Productos!$D$2:$D$11,MATCH(Datos_Ventas!D343,Productos!$A$2:$A$11,0))</f>
        <v>100800</v>
      </c>
      <c r="N343" s="29">
        <f t="shared" si="22"/>
        <v>98640</v>
      </c>
      <c r="O343" s="30">
        <f>K343/INDEX(Productos!$E$2:$E$11,MATCH(Datos_Ventas!D343,Productos!$A$2:$A$11,0))-1</f>
        <v>6.5384615384615374E-2</v>
      </c>
      <c r="P343">
        <f t="shared" si="23"/>
        <v>1</v>
      </c>
    </row>
    <row r="344" spans="1:16" x14ac:dyDescent="0.2">
      <c r="A344">
        <f>Datos_Ventas!A344</f>
        <v>363</v>
      </c>
      <c r="B344" s="13">
        <f>Datos_Ventas!B344</f>
        <v>46261</v>
      </c>
      <c r="C344" t="str">
        <f t="shared" si="20"/>
        <v>08 Ago</v>
      </c>
      <c r="D344" t="str">
        <f t="shared" si="21"/>
        <v>T3</v>
      </c>
      <c r="E344" t="str">
        <f>INDEX(Productos!$B$2:$B$11,MATCH(Datos_Ventas!D344,Productos!$A$2:$A$11,0))</f>
        <v>Aceite Omega</v>
      </c>
      <c r="F344" t="str">
        <f>INDEX(Productos!$C$2:$C$11,MATCH(Datos_Ventas!D344,Productos!$A$2:$A$11,0))</f>
        <v>Suplementos</v>
      </c>
      <c r="G344" t="str">
        <f>INDEX(Clientes!$B$2:$B$11,MATCH(Datos_Ventas!C344,Clientes!$A$2:$A$11,0))</f>
        <v>Veterinaria Sur</v>
      </c>
      <c r="H344" t="str">
        <f>INDEX(Clientes!$C$2:$C$11,MATCH(Datos_Ventas!C344,Clientes!$A$2:$A$11,0))</f>
        <v>Especializado</v>
      </c>
      <c r="I344" t="str">
        <f>INDEX(Clientes!$D$2:$D$11,MATCH(Datos_Ventas!C344,Clientes!$A$2:$A$11,0))</f>
        <v>Godoy Cruz</v>
      </c>
      <c r="J344">
        <f>Datos_Ventas!E344</f>
        <v>39</v>
      </c>
      <c r="K344" s="29">
        <f>Datos_Ventas!F344</f>
        <v>5790</v>
      </c>
      <c r="L344" s="29">
        <f>Datos_Ventas!G344</f>
        <v>225810</v>
      </c>
      <c r="M344" s="29">
        <f>J344*INDEX(Productos!$D$2:$D$11,MATCH(Datos_Ventas!D344,Productos!$A$2:$A$11,0))</f>
        <v>120900</v>
      </c>
      <c r="N344" s="29">
        <f t="shared" si="22"/>
        <v>104910</v>
      </c>
      <c r="O344" s="30">
        <f>K344/INDEX(Productos!$E$2:$E$11,MATCH(Datos_Ventas!D344,Productos!$A$2:$A$11,0))-1</f>
        <v>3.392857142857153E-2</v>
      </c>
      <c r="P344">
        <f t="shared" si="23"/>
        <v>1</v>
      </c>
    </row>
    <row r="345" spans="1:16" x14ac:dyDescent="0.2">
      <c r="A345">
        <f>Datos_Ventas!A345</f>
        <v>364</v>
      </c>
      <c r="B345" s="13">
        <f>Datos_Ventas!B345</f>
        <v>46261</v>
      </c>
      <c r="C345" t="str">
        <f t="shared" si="20"/>
        <v>08 Ago</v>
      </c>
      <c r="D345" t="str">
        <f t="shared" si="21"/>
        <v>T3</v>
      </c>
      <c r="E345" t="str">
        <f>INDEX(Productos!$B$2:$B$11,MATCH(Datos_Ventas!D345,Productos!$A$2:$A$11,0))</f>
        <v>Correa Reforzada</v>
      </c>
      <c r="F345" t="str">
        <f>INDEX(Productos!$C$2:$C$11,MATCH(Datos_Ventas!D345,Productos!$A$2:$A$11,0))</f>
        <v>Accesorios</v>
      </c>
      <c r="G345" t="str">
        <f>INDEX(Clientes!$B$2:$B$11,MATCH(Datos_Ventas!C345,Clientes!$A$2:$A$11,0))</f>
        <v>Veterinaria Sur</v>
      </c>
      <c r="H345" t="str">
        <f>INDEX(Clientes!$C$2:$C$11,MATCH(Datos_Ventas!C345,Clientes!$A$2:$A$11,0))</f>
        <v>Especializado</v>
      </c>
      <c r="I345" t="str">
        <f>INDEX(Clientes!$D$2:$D$11,MATCH(Datos_Ventas!C345,Clientes!$A$2:$A$11,0))</f>
        <v>Godoy Cruz</v>
      </c>
      <c r="J345">
        <f>Datos_Ventas!E345</f>
        <v>3</v>
      </c>
      <c r="K345" s="29">
        <f>Datos_Ventas!F345</f>
        <v>4930</v>
      </c>
      <c r="L345" s="29">
        <f>Datos_Ventas!G345</f>
        <v>14790</v>
      </c>
      <c r="M345" s="29">
        <f>J345*INDEX(Productos!$D$2:$D$11,MATCH(Datos_Ventas!D345,Productos!$A$2:$A$11,0))</f>
        <v>8400</v>
      </c>
      <c r="N345" s="29">
        <f t="shared" si="22"/>
        <v>6390</v>
      </c>
      <c r="O345" s="30">
        <f>K345/INDEX(Productos!$E$2:$E$11,MATCH(Datos_Ventas!D345,Productos!$A$2:$A$11,0))-1</f>
        <v>-5.1923076923076961E-2</v>
      </c>
      <c r="P345">
        <f t="shared" si="23"/>
        <v>1</v>
      </c>
    </row>
    <row r="346" spans="1:16" x14ac:dyDescent="0.2">
      <c r="A346">
        <f>Datos_Ventas!A346</f>
        <v>365</v>
      </c>
      <c r="B346" s="13">
        <f>Datos_Ventas!B346</f>
        <v>46262</v>
      </c>
      <c r="C346" t="str">
        <f t="shared" si="20"/>
        <v>08 Ago</v>
      </c>
      <c r="D346" t="str">
        <f t="shared" si="21"/>
        <v>T3</v>
      </c>
      <c r="E346" t="str">
        <f>INDEX(Productos!$B$2:$B$11,MATCH(Datos_Ventas!D346,Productos!$A$2:$A$11,0))</f>
        <v>Galletas Perro</v>
      </c>
      <c r="F346" t="str">
        <f>INDEX(Productos!$C$2:$C$11,MATCH(Datos_Ventas!D346,Productos!$A$2:$A$11,0))</f>
        <v>Snacks</v>
      </c>
      <c r="G346" t="str">
        <f>INDEX(Clientes!$B$2:$B$11,MATCH(Datos_Ventas!C346,Clientes!$A$2:$A$11,0))</f>
        <v>Supermercado Cuyo</v>
      </c>
      <c r="H346" t="str">
        <f>INDEX(Clientes!$C$2:$C$11,MATCH(Datos_Ventas!C346,Clientes!$A$2:$A$11,0))</f>
        <v>Retail</v>
      </c>
      <c r="I346" t="str">
        <f>INDEX(Clientes!$D$2:$D$11,MATCH(Datos_Ventas!C346,Clientes!$A$2:$A$11,0))</f>
        <v>Guaymallén</v>
      </c>
      <c r="J346">
        <f>Datos_Ventas!E346</f>
        <v>12</v>
      </c>
      <c r="K346" s="29">
        <f>Datos_Ventas!F346</f>
        <v>2770</v>
      </c>
      <c r="L346" s="29">
        <f>Datos_Ventas!G346</f>
        <v>33240</v>
      </c>
      <c r="M346" s="29">
        <f>J346*INDEX(Productos!$D$2:$D$11,MATCH(Datos_Ventas!D346,Productos!$A$2:$A$11,0))</f>
        <v>18000</v>
      </c>
      <c r="N346" s="29">
        <f t="shared" si="22"/>
        <v>15240</v>
      </c>
      <c r="O346" s="30">
        <f>K346/INDEX(Productos!$E$2:$E$11,MATCH(Datos_Ventas!D346,Productos!$A$2:$A$11,0))-1</f>
        <v>2.5925925925925908E-2</v>
      </c>
      <c r="P346">
        <f t="shared" si="23"/>
        <v>1</v>
      </c>
    </row>
    <row r="347" spans="1:16" x14ac:dyDescent="0.2">
      <c r="A347">
        <f>Datos_Ventas!A347</f>
        <v>366</v>
      </c>
      <c r="B347" s="13">
        <f>Datos_Ventas!B347</f>
        <v>46262</v>
      </c>
      <c r="C347" t="str">
        <f t="shared" si="20"/>
        <v>08 Ago</v>
      </c>
      <c r="D347" t="str">
        <f t="shared" si="21"/>
        <v>T3</v>
      </c>
      <c r="E347" t="str">
        <f>INDEX(Productos!$B$2:$B$11,MATCH(Datos_Ventas!D347,Productos!$A$2:$A$11,0))</f>
        <v>Alimento Premium 10kg</v>
      </c>
      <c r="F347" t="str">
        <f>INDEX(Productos!$C$2:$C$11,MATCH(Datos_Ventas!D347,Productos!$A$2:$A$11,0))</f>
        <v>Alimentos</v>
      </c>
      <c r="G347" t="str">
        <f>INDEX(Clientes!$B$2:$B$11,MATCH(Datos_Ventas!C347,Clientes!$A$2:$A$11,0))</f>
        <v>Almacén Don Pedro</v>
      </c>
      <c r="H347" t="str">
        <f>INDEX(Clientes!$C$2:$C$11,MATCH(Datos_Ventas!C347,Clientes!$A$2:$A$11,0))</f>
        <v>Minorista</v>
      </c>
      <c r="I347" t="str">
        <f>INDEX(Clientes!$D$2:$D$11,MATCH(Datos_Ventas!C347,Clientes!$A$2:$A$11,0))</f>
        <v>Maipú</v>
      </c>
      <c r="J347">
        <f>Datos_Ventas!E347</f>
        <v>24</v>
      </c>
      <c r="K347" s="29">
        <f>Datos_Ventas!F347</f>
        <v>20220</v>
      </c>
      <c r="L347" s="29">
        <f>Datos_Ventas!G347</f>
        <v>485280</v>
      </c>
      <c r="M347" s="29">
        <f>J347*INDEX(Productos!$D$2:$D$11,MATCH(Datos_Ventas!D347,Productos!$A$2:$A$11,0))</f>
        <v>300000</v>
      </c>
      <c r="N347" s="29">
        <f t="shared" si="22"/>
        <v>185280</v>
      </c>
      <c r="O347" s="30">
        <f>K347/INDEX(Productos!$E$2:$E$11,MATCH(Datos_Ventas!D347,Productos!$A$2:$A$11,0))-1</f>
        <v>6.9841269841269815E-2</v>
      </c>
      <c r="P347">
        <f t="shared" si="23"/>
        <v>1</v>
      </c>
    </row>
    <row r="348" spans="1:16" x14ac:dyDescent="0.2">
      <c r="A348">
        <f>Datos_Ventas!A348</f>
        <v>367</v>
      </c>
      <c r="B348" s="13">
        <f>Datos_Ventas!B348</f>
        <v>46262</v>
      </c>
      <c r="C348" t="str">
        <f t="shared" si="20"/>
        <v>08 Ago</v>
      </c>
      <c r="D348" t="str">
        <f t="shared" si="21"/>
        <v>T3</v>
      </c>
      <c r="E348" t="str">
        <f>INDEX(Productos!$B$2:$B$11,MATCH(Datos_Ventas!D348,Productos!$A$2:$A$11,0))</f>
        <v>Alimento Balanceado 15kg</v>
      </c>
      <c r="F348" t="str">
        <f>INDEX(Productos!$C$2:$C$11,MATCH(Datos_Ventas!D348,Productos!$A$2:$A$11,0))</f>
        <v>Alimentos</v>
      </c>
      <c r="G348" t="str">
        <f>INDEX(Clientes!$B$2:$B$11,MATCH(Datos_Ventas!C348,Clientes!$A$2:$A$11,0))</f>
        <v>Pet Shop Mascotas</v>
      </c>
      <c r="H348" t="str">
        <f>INDEX(Clientes!$C$2:$C$11,MATCH(Datos_Ventas!C348,Clientes!$A$2:$A$11,0))</f>
        <v>Especializado</v>
      </c>
      <c r="I348" t="str">
        <f>INDEX(Clientes!$D$2:$D$11,MATCH(Datos_Ventas!C348,Clientes!$A$2:$A$11,0))</f>
        <v>Mendoza</v>
      </c>
      <c r="J348">
        <f>Datos_Ventas!E348</f>
        <v>10</v>
      </c>
      <c r="K348" s="29">
        <f>Datos_Ventas!F348</f>
        <v>13370</v>
      </c>
      <c r="L348" s="29">
        <f>Datos_Ventas!G348</f>
        <v>133700</v>
      </c>
      <c r="M348" s="29">
        <f>J348*INDEX(Productos!$D$2:$D$11,MATCH(Datos_Ventas!D348,Productos!$A$2:$A$11,0))</f>
        <v>98000</v>
      </c>
      <c r="N348" s="29">
        <f t="shared" si="22"/>
        <v>35700</v>
      </c>
      <c r="O348" s="30">
        <f>K348/INDEX(Productos!$E$2:$E$11,MATCH(Datos_Ventas!D348,Productos!$A$2:$A$11,0))-1</f>
        <v>-7.7931034482758621E-2</v>
      </c>
      <c r="P348">
        <f t="shared" si="23"/>
        <v>1</v>
      </c>
    </row>
    <row r="349" spans="1:16" x14ac:dyDescent="0.2">
      <c r="A349">
        <f>Datos_Ventas!A349</f>
        <v>368</v>
      </c>
      <c r="B349" s="13">
        <f>Datos_Ventas!B349</f>
        <v>46263</v>
      </c>
      <c r="C349" t="str">
        <f t="shared" si="20"/>
        <v>08 Ago</v>
      </c>
      <c r="D349" t="str">
        <f t="shared" si="21"/>
        <v>T3</v>
      </c>
      <c r="E349" t="str">
        <f>INDEX(Productos!$B$2:$B$11,MATCH(Datos_Ventas!D349,Productos!$A$2:$A$11,0))</f>
        <v>Juguete Pelota</v>
      </c>
      <c r="F349" t="str">
        <f>INDEX(Productos!$C$2:$C$11,MATCH(Datos_Ventas!D349,Productos!$A$2:$A$11,0))</f>
        <v>Accesorios</v>
      </c>
      <c r="G349" t="str">
        <f>INDEX(Clientes!$B$2:$B$11,MATCH(Datos_Ventas!C349,Clientes!$A$2:$A$11,0))</f>
        <v>Supermercado Cuyo</v>
      </c>
      <c r="H349" t="str">
        <f>INDEX(Clientes!$C$2:$C$11,MATCH(Datos_Ventas!C349,Clientes!$A$2:$A$11,0))</f>
        <v>Retail</v>
      </c>
      <c r="I349" t="str">
        <f>INDEX(Clientes!$D$2:$D$11,MATCH(Datos_Ventas!C349,Clientes!$A$2:$A$11,0))</f>
        <v>Guaymallén</v>
      </c>
      <c r="J349">
        <f>Datos_Ventas!E349</f>
        <v>17</v>
      </c>
      <c r="K349" s="29">
        <f>Datos_Ventas!F349</f>
        <v>1680</v>
      </c>
      <c r="L349" s="29">
        <f>Datos_Ventas!G349</f>
        <v>28560</v>
      </c>
      <c r="M349" s="29">
        <f>J349*INDEX(Productos!$D$2:$D$11,MATCH(Datos_Ventas!D349,Productos!$A$2:$A$11,0))</f>
        <v>15300</v>
      </c>
      <c r="N349" s="29">
        <f t="shared" si="22"/>
        <v>13260</v>
      </c>
      <c r="O349" s="30">
        <f>K349/INDEX(Productos!$E$2:$E$11,MATCH(Datos_Ventas!D349,Productos!$A$2:$A$11,0))-1</f>
        <v>-6.6666666666666652E-2</v>
      </c>
      <c r="P349">
        <f t="shared" si="23"/>
        <v>1</v>
      </c>
    </row>
    <row r="350" spans="1:16" x14ac:dyDescent="0.2">
      <c r="A350">
        <f>Datos_Ventas!A350</f>
        <v>369</v>
      </c>
      <c r="B350" s="13">
        <f>Datos_Ventas!B350</f>
        <v>46263</v>
      </c>
      <c r="C350" t="str">
        <f t="shared" si="20"/>
        <v>08 Ago</v>
      </c>
      <c r="D350" t="str">
        <f t="shared" si="21"/>
        <v>T3</v>
      </c>
      <c r="E350" t="str">
        <f>INDEX(Productos!$B$2:$B$11,MATCH(Datos_Ventas!D350,Productos!$A$2:$A$11,0))</f>
        <v>Arena Sanitaria</v>
      </c>
      <c r="F350" t="str">
        <f>INDEX(Productos!$C$2:$C$11,MATCH(Datos_Ventas!D350,Productos!$A$2:$A$11,0))</f>
        <v>Higiene</v>
      </c>
      <c r="G350" t="str">
        <f>INDEX(Clientes!$B$2:$B$11,MATCH(Datos_Ventas!C350,Clientes!$A$2:$A$11,0))</f>
        <v>Autoservicio Norte</v>
      </c>
      <c r="H350" t="str">
        <f>INDEX(Clientes!$C$2:$C$11,MATCH(Datos_Ventas!C350,Clientes!$A$2:$A$11,0))</f>
        <v>Retail</v>
      </c>
      <c r="I350" t="str">
        <f>INDEX(Clientes!$D$2:$D$11,MATCH(Datos_Ventas!C350,Clientes!$A$2:$A$11,0))</f>
        <v>Las Heras</v>
      </c>
      <c r="J350">
        <f>Datos_Ventas!E350</f>
        <v>34</v>
      </c>
      <c r="K350" s="29">
        <f>Datos_Ventas!F350</f>
        <v>4100</v>
      </c>
      <c r="L350" s="29">
        <f>Datos_Ventas!G350</f>
        <v>139400</v>
      </c>
      <c r="M350" s="29">
        <f>J350*INDEX(Productos!$D$2:$D$11,MATCH(Datos_Ventas!D350,Productos!$A$2:$A$11,0))</f>
        <v>88400</v>
      </c>
      <c r="N350" s="29">
        <f t="shared" si="22"/>
        <v>51000</v>
      </c>
      <c r="O350" s="30">
        <f>K350/INDEX(Productos!$E$2:$E$11,MATCH(Datos_Ventas!D350,Productos!$A$2:$A$11,0))-1</f>
        <v>-6.8181818181818232E-2</v>
      </c>
      <c r="P350">
        <f t="shared" si="23"/>
        <v>1</v>
      </c>
    </row>
    <row r="351" spans="1:16" x14ac:dyDescent="0.2">
      <c r="A351">
        <f>Datos_Ventas!A351</f>
        <v>370</v>
      </c>
      <c r="B351" s="13">
        <f>Datos_Ventas!B351</f>
        <v>46265</v>
      </c>
      <c r="C351" t="str">
        <f t="shared" si="20"/>
        <v>08 Ago</v>
      </c>
      <c r="D351" t="str">
        <f t="shared" si="21"/>
        <v>T3</v>
      </c>
      <c r="E351" t="str">
        <f>INDEX(Productos!$B$2:$B$11,MATCH(Datos_Ventas!D351,Productos!$A$2:$A$11,0))</f>
        <v>Aceite Omega</v>
      </c>
      <c r="F351" t="str">
        <f>INDEX(Productos!$C$2:$C$11,MATCH(Datos_Ventas!D351,Productos!$A$2:$A$11,0))</f>
        <v>Suplementos</v>
      </c>
      <c r="G351" t="str">
        <f>INDEX(Clientes!$B$2:$B$11,MATCH(Datos_Ventas!C351,Clientes!$A$2:$A$11,0))</f>
        <v>Mayorista del Sol</v>
      </c>
      <c r="H351" t="str">
        <f>INDEX(Clientes!$C$2:$C$11,MATCH(Datos_Ventas!C351,Clientes!$A$2:$A$11,0))</f>
        <v>Mayorista</v>
      </c>
      <c r="I351" t="str">
        <f>INDEX(Clientes!$D$2:$D$11,MATCH(Datos_Ventas!C351,Clientes!$A$2:$A$11,0))</f>
        <v>San Martín</v>
      </c>
      <c r="J351">
        <f>Datos_Ventas!E351</f>
        <v>6</v>
      </c>
      <c r="K351" s="29">
        <f>Datos_Ventas!F351</f>
        <v>5250</v>
      </c>
      <c r="L351" s="29">
        <f>Datos_Ventas!G351</f>
        <v>31500</v>
      </c>
      <c r="M351" s="29">
        <f>J351*INDEX(Productos!$D$2:$D$11,MATCH(Datos_Ventas!D351,Productos!$A$2:$A$11,0))</f>
        <v>18600</v>
      </c>
      <c r="N351" s="29">
        <f t="shared" si="22"/>
        <v>12900</v>
      </c>
      <c r="O351" s="30">
        <f>K351/INDEX(Productos!$E$2:$E$11,MATCH(Datos_Ventas!D351,Productos!$A$2:$A$11,0))-1</f>
        <v>-6.25E-2</v>
      </c>
      <c r="P351">
        <f t="shared" si="23"/>
        <v>1</v>
      </c>
    </row>
    <row r="352" spans="1:16" x14ac:dyDescent="0.2">
      <c r="A352">
        <f>Datos_Ventas!A352</f>
        <v>371</v>
      </c>
      <c r="B352" s="13">
        <f>Datos_Ventas!B352</f>
        <v>46265</v>
      </c>
      <c r="C352" t="str">
        <f t="shared" si="20"/>
        <v>08 Ago</v>
      </c>
      <c r="D352" t="str">
        <f t="shared" si="21"/>
        <v>T3</v>
      </c>
      <c r="E352" t="str">
        <f>INDEX(Productos!$B$2:$B$11,MATCH(Datos_Ventas!D352,Productos!$A$2:$A$11,0))</f>
        <v>Juguete Pelota</v>
      </c>
      <c r="F352" t="str">
        <f>INDEX(Productos!$C$2:$C$11,MATCH(Datos_Ventas!D352,Productos!$A$2:$A$11,0))</f>
        <v>Accesorios</v>
      </c>
      <c r="G352" t="str">
        <f>INDEX(Clientes!$B$2:$B$11,MATCH(Datos_Ventas!C352,Clientes!$A$2:$A$11,0))</f>
        <v>Pet Shop Mascotas</v>
      </c>
      <c r="H352" t="str">
        <f>INDEX(Clientes!$C$2:$C$11,MATCH(Datos_Ventas!C352,Clientes!$A$2:$A$11,0))</f>
        <v>Especializado</v>
      </c>
      <c r="I352" t="str">
        <f>INDEX(Clientes!$D$2:$D$11,MATCH(Datos_Ventas!C352,Clientes!$A$2:$A$11,0))</f>
        <v>Mendoza</v>
      </c>
      <c r="J352">
        <f>Datos_Ventas!E352</f>
        <v>24</v>
      </c>
      <c r="K352" s="29">
        <f>Datos_Ventas!F352</f>
        <v>1710</v>
      </c>
      <c r="L352" s="29">
        <f>Datos_Ventas!G352</f>
        <v>41040</v>
      </c>
      <c r="M352" s="29">
        <f>J352*INDEX(Productos!$D$2:$D$11,MATCH(Datos_Ventas!D352,Productos!$A$2:$A$11,0))</f>
        <v>21600</v>
      </c>
      <c r="N352" s="29">
        <f t="shared" si="22"/>
        <v>19440</v>
      </c>
      <c r="O352" s="30">
        <f>K352/INDEX(Productos!$E$2:$E$11,MATCH(Datos_Ventas!D352,Productos!$A$2:$A$11,0))-1</f>
        <v>-5.0000000000000044E-2</v>
      </c>
      <c r="P352">
        <f t="shared" si="23"/>
        <v>1</v>
      </c>
    </row>
    <row r="353" spans="1:16" x14ac:dyDescent="0.2">
      <c r="A353">
        <f>Datos_Ventas!A353</f>
        <v>372</v>
      </c>
      <c r="B353" s="13">
        <f>Datos_Ventas!B353</f>
        <v>46266</v>
      </c>
      <c r="C353" t="str">
        <f t="shared" si="20"/>
        <v>09 Sep</v>
      </c>
      <c r="D353" t="str">
        <f t="shared" si="21"/>
        <v>T3</v>
      </c>
      <c r="E353" t="str">
        <f>INDEX(Productos!$B$2:$B$11,MATCH(Datos_Ventas!D353,Productos!$A$2:$A$11,0))</f>
        <v>Aceite Omega</v>
      </c>
      <c r="F353" t="str">
        <f>INDEX(Productos!$C$2:$C$11,MATCH(Datos_Ventas!D353,Productos!$A$2:$A$11,0))</f>
        <v>Suplementos</v>
      </c>
      <c r="G353" t="str">
        <f>INDEX(Clientes!$B$2:$B$11,MATCH(Datos_Ventas!C353,Clientes!$A$2:$A$11,0))</f>
        <v>Pet Shop Mascotas</v>
      </c>
      <c r="H353" t="str">
        <f>INDEX(Clientes!$C$2:$C$11,MATCH(Datos_Ventas!C353,Clientes!$A$2:$A$11,0))</f>
        <v>Especializado</v>
      </c>
      <c r="I353" t="str">
        <f>INDEX(Clientes!$D$2:$D$11,MATCH(Datos_Ventas!C353,Clientes!$A$2:$A$11,0))</f>
        <v>Mendoza</v>
      </c>
      <c r="J353">
        <f>Datos_Ventas!E353</f>
        <v>8</v>
      </c>
      <c r="K353" s="29">
        <f>Datos_Ventas!F353</f>
        <v>5160</v>
      </c>
      <c r="L353" s="29">
        <f>Datos_Ventas!G353</f>
        <v>41280</v>
      </c>
      <c r="M353" s="29">
        <f>J353*INDEX(Productos!$D$2:$D$11,MATCH(Datos_Ventas!D353,Productos!$A$2:$A$11,0))</f>
        <v>24800</v>
      </c>
      <c r="N353" s="29">
        <f t="shared" si="22"/>
        <v>16480</v>
      </c>
      <c r="O353" s="30">
        <f>K353/INDEX(Productos!$E$2:$E$11,MATCH(Datos_Ventas!D353,Productos!$A$2:$A$11,0))-1</f>
        <v>-7.8571428571428625E-2</v>
      </c>
      <c r="P353">
        <f t="shared" si="23"/>
        <v>1</v>
      </c>
    </row>
    <row r="354" spans="1:16" x14ac:dyDescent="0.2">
      <c r="A354">
        <f>Datos_Ventas!A354</f>
        <v>373</v>
      </c>
      <c r="B354" s="13">
        <f>Datos_Ventas!B354</f>
        <v>46266</v>
      </c>
      <c r="C354" t="str">
        <f t="shared" si="20"/>
        <v>09 Sep</v>
      </c>
      <c r="D354" t="str">
        <f t="shared" si="21"/>
        <v>T3</v>
      </c>
      <c r="E354" t="str">
        <f>INDEX(Productos!$B$2:$B$11,MATCH(Datos_Ventas!D354,Productos!$A$2:$A$11,0))</f>
        <v>Galletas Perro</v>
      </c>
      <c r="F354" t="str">
        <f>INDEX(Productos!$C$2:$C$11,MATCH(Datos_Ventas!D354,Productos!$A$2:$A$11,0))</f>
        <v>Snacks</v>
      </c>
      <c r="G354" t="str">
        <f>INDEX(Clientes!$B$2:$B$11,MATCH(Datos_Ventas!C354,Clientes!$A$2:$A$11,0))</f>
        <v>Pet Shop Mascotas</v>
      </c>
      <c r="H354" t="str">
        <f>INDEX(Clientes!$C$2:$C$11,MATCH(Datos_Ventas!C354,Clientes!$A$2:$A$11,0))</f>
        <v>Especializado</v>
      </c>
      <c r="I354" t="str">
        <f>INDEX(Clientes!$D$2:$D$11,MATCH(Datos_Ventas!C354,Clientes!$A$2:$A$11,0))</f>
        <v>Mendoza</v>
      </c>
      <c r="J354">
        <f>Datos_Ventas!E354</f>
        <v>3</v>
      </c>
      <c r="K354" s="29">
        <f>Datos_Ventas!F354</f>
        <v>2880</v>
      </c>
      <c r="L354" s="29">
        <f>Datos_Ventas!G354</f>
        <v>8640</v>
      </c>
      <c r="M354" s="29">
        <f>J354*INDEX(Productos!$D$2:$D$11,MATCH(Datos_Ventas!D354,Productos!$A$2:$A$11,0))</f>
        <v>4500</v>
      </c>
      <c r="N354" s="29">
        <f t="shared" si="22"/>
        <v>4140</v>
      </c>
      <c r="O354" s="30">
        <f>K354/INDEX(Productos!$E$2:$E$11,MATCH(Datos_Ventas!D354,Productos!$A$2:$A$11,0))-1</f>
        <v>6.6666666666666652E-2</v>
      </c>
      <c r="P354">
        <f t="shared" si="23"/>
        <v>1</v>
      </c>
    </row>
    <row r="355" spans="1:16" x14ac:dyDescent="0.2">
      <c r="A355">
        <f>Datos_Ventas!A355</f>
        <v>374</v>
      </c>
      <c r="B355" s="13">
        <f>Datos_Ventas!B355</f>
        <v>46266</v>
      </c>
      <c r="C355" t="str">
        <f t="shared" si="20"/>
        <v>09 Sep</v>
      </c>
      <c r="D355" t="str">
        <f t="shared" si="21"/>
        <v>T3</v>
      </c>
      <c r="E355" t="str">
        <f>INDEX(Productos!$B$2:$B$11,MATCH(Datos_Ventas!D355,Productos!$A$2:$A$11,0))</f>
        <v>Arena Sanitaria</v>
      </c>
      <c r="F355" t="str">
        <f>INDEX(Productos!$C$2:$C$11,MATCH(Datos_Ventas!D355,Productos!$A$2:$A$11,0))</f>
        <v>Higiene</v>
      </c>
      <c r="G355" t="str">
        <f>INDEX(Clientes!$B$2:$B$11,MATCH(Datos_Ventas!C355,Clientes!$A$2:$A$11,0))</f>
        <v>Kiosco La Esquina</v>
      </c>
      <c r="H355" t="str">
        <f>INDEX(Clientes!$C$2:$C$11,MATCH(Datos_Ventas!C355,Clientes!$A$2:$A$11,0))</f>
        <v>Minorista</v>
      </c>
      <c r="I355" t="str">
        <f>INDEX(Clientes!$D$2:$D$11,MATCH(Datos_Ventas!C355,Clientes!$A$2:$A$11,0))</f>
        <v>Godoy Cruz</v>
      </c>
      <c r="J355">
        <f>Datos_Ventas!E355</f>
        <v>34</v>
      </c>
      <c r="K355" s="29">
        <f>Datos_Ventas!F355</f>
        <v>4590</v>
      </c>
      <c r="L355" s="29">
        <f>Datos_Ventas!G355</f>
        <v>156060</v>
      </c>
      <c r="M355" s="29">
        <f>J355*INDEX(Productos!$D$2:$D$11,MATCH(Datos_Ventas!D355,Productos!$A$2:$A$11,0))</f>
        <v>88400</v>
      </c>
      <c r="N355" s="29">
        <f t="shared" si="22"/>
        <v>67660</v>
      </c>
      <c r="O355" s="30">
        <f>K355/INDEX(Productos!$E$2:$E$11,MATCH(Datos_Ventas!D355,Productos!$A$2:$A$11,0))-1</f>
        <v>4.318181818181821E-2</v>
      </c>
      <c r="P355">
        <f t="shared" si="23"/>
        <v>1</v>
      </c>
    </row>
    <row r="356" spans="1:16" x14ac:dyDescent="0.2">
      <c r="A356">
        <f>Datos_Ventas!A356</f>
        <v>375</v>
      </c>
      <c r="B356" s="13">
        <f>Datos_Ventas!B356</f>
        <v>46267</v>
      </c>
      <c r="C356" t="str">
        <f t="shared" si="20"/>
        <v>09 Sep</v>
      </c>
      <c r="D356" t="str">
        <f t="shared" si="21"/>
        <v>T3</v>
      </c>
      <c r="E356" t="str">
        <f>INDEX(Productos!$B$2:$B$11,MATCH(Datos_Ventas!D356,Productos!$A$2:$A$11,0))</f>
        <v>Snack Dental</v>
      </c>
      <c r="F356" t="str">
        <f>INDEX(Productos!$C$2:$C$11,MATCH(Datos_Ventas!D356,Productos!$A$2:$A$11,0))</f>
        <v>Snacks</v>
      </c>
      <c r="G356" t="str">
        <f>INDEX(Clientes!$B$2:$B$11,MATCH(Datos_Ventas!C356,Clientes!$A$2:$A$11,0))</f>
        <v>Almacén Don Pedro</v>
      </c>
      <c r="H356" t="str">
        <f>INDEX(Clientes!$C$2:$C$11,MATCH(Datos_Ventas!C356,Clientes!$A$2:$A$11,0))</f>
        <v>Minorista</v>
      </c>
      <c r="I356" t="str">
        <f>INDEX(Clientes!$D$2:$D$11,MATCH(Datos_Ventas!C356,Clientes!$A$2:$A$11,0))</f>
        <v>Maipú</v>
      </c>
      <c r="J356">
        <f>Datos_Ventas!E356</f>
        <v>39</v>
      </c>
      <c r="K356" s="29">
        <f>Datos_Ventas!F356</f>
        <v>2990</v>
      </c>
      <c r="L356" s="29">
        <f>Datos_Ventas!G356</f>
        <v>116610</v>
      </c>
      <c r="M356" s="29">
        <f>J356*INDEX(Productos!$D$2:$D$11,MATCH(Datos_Ventas!D356,Productos!$A$2:$A$11,0))</f>
        <v>70200</v>
      </c>
      <c r="N356" s="29">
        <f t="shared" si="22"/>
        <v>46410</v>
      </c>
      <c r="O356" s="30">
        <f>K356/INDEX(Productos!$E$2:$E$11,MATCH(Datos_Ventas!D356,Productos!$A$2:$A$11,0))-1</f>
        <v>-6.5625000000000044E-2</v>
      </c>
      <c r="P356">
        <f t="shared" si="23"/>
        <v>1</v>
      </c>
    </row>
    <row r="357" spans="1:16" x14ac:dyDescent="0.2">
      <c r="A357">
        <f>Datos_Ventas!A357</f>
        <v>376</v>
      </c>
      <c r="B357" s="13">
        <f>Datos_Ventas!B357</f>
        <v>46268</v>
      </c>
      <c r="C357" t="str">
        <f t="shared" si="20"/>
        <v>09 Sep</v>
      </c>
      <c r="D357" t="str">
        <f t="shared" si="21"/>
        <v>T3</v>
      </c>
      <c r="E357" t="str">
        <f>INDEX(Productos!$B$2:$B$11,MATCH(Datos_Ventas!D357,Productos!$A$2:$A$11,0))</f>
        <v>Galletas Perro</v>
      </c>
      <c r="F357" t="str">
        <f>INDEX(Productos!$C$2:$C$11,MATCH(Datos_Ventas!D357,Productos!$A$2:$A$11,0))</f>
        <v>Snacks</v>
      </c>
      <c r="G357" t="str">
        <f>INDEX(Clientes!$B$2:$B$11,MATCH(Datos_Ventas!C357,Clientes!$A$2:$A$11,0))</f>
        <v>Mayorista del Sol</v>
      </c>
      <c r="H357" t="str">
        <f>INDEX(Clientes!$C$2:$C$11,MATCH(Datos_Ventas!C357,Clientes!$A$2:$A$11,0))</f>
        <v>Mayorista</v>
      </c>
      <c r="I357" t="str">
        <f>INDEX(Clientes!$D$2:$D$11,MATCH(Datos_Ventas!C357,Clientes!$A$2:$A$11,0))</f>
        <v>San Martín</v>
      </c>
      <c r="J357">
        <f>Datos_Ventas!E357</f>
        <v>22</v>
      </c>
      <c r="K357" s="29">
        <f>Datos_Ventas!F357</f>
        <v>2640</v>
      </c>
      <c r="L357" s="29">
        <f>Datos_Ventas!G357</f>
        <v>58080</v>
      </c>
      <c r="M357" s="29">
        <f>J357*INDEX(Productos!$D$2:$D$11,MATCH(Datos_Ventas!D357,Productos!$A$2:$A$11,0))</f>
        <v>33000</v>
      </c>
      <c r="N357" s="29">
        <f t="shared" si="22"/>
        <v>25080</v>
      </c>
      <c r="O357" s="30">
        <f>K357/INDEX(Productos!$E$2:$E$11,MATCH(Datos_Ventas!D357,Productos!$A$2:$A$11,0))-1</f>
        <v>-2.2222222222222254E-2</v>
      </c>
      <c r="P357">
        <f t="shared" si="23"/>
        <v>1</v>
      </c>
    </row>
    <row r="358" spans="1:16" x14ac:dyDescent="0.2">
      <c r="A358">
        <f>Datos_Ventas!A358</f>
        <v>377</v>
      </c>
      <c r="B358" s="13">
        <f>Datos_Ventas!B358</f>
        <v>46268</v>
      </c>
      <c r="C358" t="str">
        <f t="shared" si="20"/>
        <v>09 Sep</v>
      </c>
      <c r="D358" t="str">
        <f t="shared" si="21"/>
        <v>T3</v>
      </c>
      <c r="E358" t="str">
        <f>INDEX(Productos!$B$2:$B$11,MATCH(Datos_Ventas!D358,Productos!$A$2:$A$11,0))</f>
        <v>Alimento Premium 10kg</v>
      </c>
      <c r="F358" t="str">
        <f>INDEX(Productos!$C$2:$C$11,MATCH(Datos_Ventas!D358,Productos!$A$2:$A$11,0))</f>
        <v>Alimentos</v>
      </c>
      <c r="G358" t="str">
        <f>INDEX(Clientes!$B$2:$B$11,MATCH(Datos_Ventas!C358,Clientes!$A$2:$A$11,0))</f>
        <v>Hiper Centro</v>
      </c>
      <c r="H358" t="str">
        <f>INDEX(Clientes!$C$2:$C$11,MATCH(Datos_Ventas!C358,Clientes!$A$2:$A$11,0))</f>
        <v>Retail</v>
      </c>
      <c r="I358" t="str">
        <f>INDEX(Clientes!$D$2:$D$11,MATCH(Datos_Ventas!C358,Clientes!$A$2:$A$11,0))</f>
        <v>Luján de Cuyo</v>
      </c>
      <c r="J358">
        <f>Datos_Ventas!E358</f>
        <v>35</v>
      </c>
      <c r="K358" s="29">
        <f>Datos_Ventas!F358</f>
        <v>18970</v>
      </c>
      <c r="L358" s="29">
        <f>Datos_Ventas!G358</f>
        <v>663950</v>
      </c>
      <c r="M358" s="29">
        <f>J358*INDEX(Productos!$D$2:$D$11,MATCH(Datos_Ventas!D358,Productos!$A$2:$A$11,0))</f>
        <v>437500</v>
      </c>
      <c r="N358" s="29">
        <f t="shared" si="22"/>
        <v>226450</v>
      </c>
      <c r="O358" s="30">
        <f>K358/INDEX(Productos!$E$2:$E$11,MATCH(Datos_Ventas!D358,Productos!$A$2:$A$11,0))-1</f>
        <v>3.7037037037037646E-3</v>
      </c>
      <c r="P358">
        <f t="shared" si="23"/>
        <v>1</v>
      </c>
    </row>
    <row r="359" spans="1:16" x14ac:dyDescent="0.2">
      <c r="A359">
        <f>Datos_Ventas!A359</f>
        <v>378</v>
      </c>
      <c r="B359" s="13">
        <f>Datos_Ventas!B359</f>
        <v>46269</v>
      </c>
      <c r="C359" t="str">
        <f t="shared" si="20"/>
        <v>09 Sep</v>
      </c>
      <c r="D359" t="str">
        <f t="shared" si="21"/>
        <v>T3</v>
      </c>
      <c r="E359" t="str">
        <f>INDEX(Productos!$B$2:$B$11,MATCH(Datos_Ventas!D359,Productos!$A$2:$A$11,0))</f>
        <v>Snack Dental</v>
      </c>
      <c r="F359" t="str">
        <f>INDEX(Productos!$C$2:$C$11,MATCH(Datos_Ventas!D359,Productos!$A$2:$A$11,0))</f>
        <v>Snacks</v>
      </c>
      <c r="G359" t="str">
        <f>INDEX(Clientes!$B$2:$B$11,MATCH(Datos_Ventas!C359,Clientes!$A$2:$A$11,0))</f>
        <v>Mayorista del Sol</v>
      </c>
      <c r="H359" t="str">
        <f>INDEX(Clientes!$C$2:$C$11,MATCH(Datos_Ventas!C359,Clientes!$A$2:$A$11,0))</f>
        <v>Mayorista</v>
      </c>
      <c r="I359" t="str">
        <f>INDEX(Clientes!$D$2:$D$11,MATCH(Datos_Ventas!C359,Clientes!$A$2:$A$11,0))</f>
        <v>San Martín</v>
      </c>
      <c r="J359">
        <f>Datos_Ventas!E359</f>
        <v>31</v>
      </c>
      <c r="K359" s="29">
        <f>Datos_Ventas!F359</f>
        <v>3180</v>
      </c>
      <c r="L359" s="29">
        <f>Datos_Ventas!G359</f>
        <v>98580</v>
      </c>
      <c r="M359" s="29">
        <f>J359*INDEX(Productos!$D$2:$D$11,MATCH(Datos_Ventas!D359,Productos!$A$2:$A$11,0))</f>
        <v>55800</v>
      </c>
      <c r="N359" s="29">
        <f t="shared" si="22"/>
        <v>42780</v>
      </c>
      <c r="O359" s="30">
        <f>K359/INDEX(Productos!$E$2:$E$11,MATCH(Datos_Ventas!D359,Productos!$A$2:$A$11,0))-1</f>
        <v>-6.2499999999999778E-3</v>
      </c>
      <c r="P359">
        <f t="shared" si="23"/>
        <v>1</v>
      </c>
    </row>
    <row r="360" spans="1:16" x14ac:dyDescent="0.2">
      <c r="A360">
        <f>Datos_Ventas!A360</f>
        <v>379</v>
      </c>
      <c r="B360" s="13">
        <f>Datos_Ventas!B360</f>
        <v>46269</v>
      </c>
      <c r="C360" t="str">
        <f t="shared" si="20"/>
        <v>09 Sep</v>
      </c>
      <c r="D360" t="str">
        <f t="shared" si="21"/>
        <v>T3</v>
      </c>
      <c r="E360" t="str">
        <f>INDEX(Productos!$B$2:$B$11,MATCH(Datos_Ventas!D360,Productos!$A$2:$A$11,0))</f>
        <v>Alimento Balanceado 15kg</v>
      </c>
      <c r="F360" t="str">
        <f>INDEX(Productos!$C$2:$C$11,MATCH(Datos_Ventas!D360,Productos!$A$2:$A$11,0))</f>
        <v>Alimentos</v>
      </c>
      <c r="G360" t="str">
        <f>INDEX(Clientes!$B$2:$B$11,MATCH(Datos_Ventas!C360,Clientes!$A$2:$A$11,0))</f>
        <v>Mayorista del Sol</v>
      </c>
      <c r="H360" t="str">
        <f>INDEX(Clientes!$C$2:$C$11,MATCH(Datos_Ventas!C360,Clientes!$A$2:$A$11,0))</f>
        <v>Mayorista</v>
      </c>
      <c r="I360" t="str">
        <f>INDEX(Clientes!$D$2:$D$11,MATCH(Datos_Ventas!C360,Clientes!$A$2:$A$11,0))</f>
        <v>San Martín</v>
      </c>
      <c r="J360">
        <f>Datos_Ventas!E360</f>
        <v>28</v>
      </c>
      <c r="K360" s="29">
        <f>Datos_Ventas!F360</f>
        <v>14430</v>
      </c>
      <c r="L360" s="29">
        <f>Datos_Ventas!G360</f>
        <v>404040</v>
      </c>
      <c r="M360" s="29">
        <f>J360*INDEX(Productos!$D$2:$D$11,MATCH(Datos_Ventas!D360,Productos!$A$2:$A$11,0))</f>
        <v>274400</v>
      </c>
      <c r="N360" s="29">
        <f t="shared" si="22"/>
        <v>129640</v>
      </c>
      <c r="O360" s="30">
        <f>K360/INDEX(Productos!$E$2:$E$11,MATCH(Datos_Ventas!D360,Productos!$A$2:$A$11,0))-1</f>
        <v>-4.8275862068966058E-3</v>
      </c>
      <c r="P360">
        <f t="shared" si="23"/>
        <v>1</v>
      </c>
    </row>
    <row r="361" spans="1:16" x14ac:dyDescent="0.2">
      <c r="A361">
        <f>Datos_Ventas!A361</f>
        <v>380</v>
      </c>
      <c r="B361" s="13">
        <f>Datos_Ventas!B361</f>
        <v>46269</v>
      </c>
      <c r="C361" t="str">
        <f t="shared" si="20"/>
        <v>09 Sep</v>
      </c>
      <c r="D361" t="str">
        <f t="shared" si="21"/>
        <v>T3</v>
      </c>
      <c r="E361" t="str">
        <f>INDEX(Productos!$B$2:$B$11,MATCH(Datos_Ventas!D361,Productos!$A$2:$A$11,0))</f>
        <v>Juguete Pelota</v>
      </c>
      <c r="F361" t="str">
        <f>INDEX(Productos!$C$2:$C$11,MATCH(Datos_Ventas!D361,Productos!$A$2:$A$11,0))</f>
        <v>Accesorios</v>
      </c>
      <c r="G361" t="str">
        <f>INDEX(Clientes!$B$2:$B$11,MATCH(Datos_Ventas!C361,Clientes!$A$2:$A$11,0))</f>
        <v>Autoservicio Norte</v>
      </c>
      <c r="H361" t="str">
        <f>INDEX(Clientes!$C$2:$C$11,MATCH(Datos_Ventas!C361,Clientes!$A$2:$A$11,0))</f>
        <v>Retail</v>
      </c>
      <c r="I361" t="str">
        <f>INDEX(Clientes!$D$2:$D$11,MATCH(Datos_Ventas!C361,Clientes!$A$2:$A$11,0))</f>
        <v>Las Heras</v>
      </c>
      <c r="J361">
        <f>Datos_Ventas!E361</f>
        <v>39</v>
      </c>
      <c r="K361" s="29">
        <f>Datos_Ventas!F361</f>
        <v>1730</v>
      </c>
      <c r="L361" s="29">
        <f>Datos_Ventas!G361</f>
        <v>67470</v>
      </c>
      <c r="M361" s="29">
        <f>J361*INDEX(Productos!$D$2:$D$11,MATCH(Datos_Ventas!D361,Productos!$A$2:$A$11,0))</f>
        <v>35100</v>
      </c>
      <c r="N361" s="29">
        <f t="shared" si="22"/>
        <v>32370</v>
      </c>
      <c r="O361" s="30">
        <f>K361/INDEX(Productos!$E$2:$E$11,MATCH(Datos_Ventas!D361,Productos!$A$2:$A$11,0))-1</f>
        <v>-3.8888888888888862E-2</v>
      </c>
      <c r="P361">
        <f t="shared" si="23"/>
        <v>1</v>
      </c>
    </row>
    <row r="362" spans="1:16" x14ac:dyDescent="0.2">
      <c r="A362">
        <f>Datos_Ventas!A362</f>
        <v>381</v>
      </c>
      <c r="B362" s="13">
        <f>Datos_Ventas!B362</f>
        <v>46270</v>
      </c>
      <c r="C362" t="str">
        <f t="shared" si="20"/>
        <v>09 Sep</v>
      </c>
      <c r="D362" t="str">
        <f t="shared" si="21"/>
        <v>T3</v>
      </c>
      <c r="E362" t="str">
        <f>INDEX(Productos!$B$2:$B$11,MATCH(Datos_Ventas!D362,Productos!$A$2:$A$11,0))</f>
        <v>Alimento Premium 10kg</v>
      </c>
      <c r="F362" t="str">
        <f>INDEX(Productos!$C$2:$C$11,MATCH(Datos_Ventas!D362,Productos!$A$2:$A$11,0))</f>
        <v>Alimentos</v>
      </c>
      <c r="G362" t="str">
        <f>INDEX(Clientes!$B$2:$B$11,MATCH(Datos_Ventas!C362,Clientes!$A$2:$A$11,0))</f>
        <v>Pet Shop Mascotas</v>
      </c>
      <c r="H362" t="str">
        <f>INDEX(Clientes!$C$2:$C$11,MATCH(Datos_Ventas!C362,Clientes!$A$2:$A$11,0))</f>
        <v>Especializado</v>
      </c>
      <c r="I362" t="str">
        <f>INDEX(Clientes!$D$2:$D$11,MATCH(Datos_Ventas!C362,Clientes!$A$2:$A$11,0))</f>
        <v>Mendoza</v>
      </c>
      <c r="J362">
        <f>Datos_Ventas!E362</f>
        <v>8</v>
      </c>
      <c r="K362" s="29">
        <f>Datos_Ventas!F362</f>
        <v>18110</v>
      </c>
      <c r="L362" s="29">
        <f>Datos_Ventas!G362</f>
        <v>144880</v>
      </c>
      <c r="M362" s="29">
        <f>J362*INDEX(Productos!$D$2:$D$11,MATCH(Datos_Ventas!D362,Productos!$A$2:$A$11,0))</f>
        <v>100000</v>
      </c>
      <c r="N362" s="29">
        <f t="shared" si="22"/>
        <v>44880</v>
      </c>
      <c r="O362" s="30">
        <f>K362/INDEX(Productos!$E$2:$E$11,MATCH(Datos_Ventas!D362,Productos!$A$2:$A$11,0))-1</f>
        <v>-4.1798941798941835E-2</v>
      </c>
      <c r="P362">
        <f t="shared" si="23"/>
        <v>1</v>
      </c>
    </row>
    <row r="363" spans="1:16" x14ac:dyDescent="0.2">
      <c r="A363">
        <f>Datos_Ventas!A363</f>
        <v>382</v>
      </c>
      <c r="B363" s="13">
        <f>Datos_Ventas!B363</f>
        <v>46270</v>
      </c>
      <c r="C363" t="str">
        <f t="shared" si="20"/>
        <v>09 Sep</v>
      </c>
      <c r="D363" t="str">
        <f t="shared" si="21"/>
        <v>T3</v>
      </c>
      <c r="E363" t="str">
        <f>INDEX(Productos!$B$2:$B$11,MATCH(Datos_Ventas!D363,Productos!$A$2:$A$11,0))</f>
        <v>Alimento Premium 10kg</v>
      </c>
      <c r="F363" t="str">
        <f>INDEX(Productos!$C$2:$C$11,MATCH(Datos_Ventas!D363,Productos!$A$2:$A$11,0))</f>
        <v>Alimentos</v>
      </c>
      <c r="G363" t="str">
        <f>INDEX(Clientes!$B$2:$B$11,MATCH(Datos_Ventas!C363,Clientes!$A$2:$A$11,0))</f>
        <v>Supermercado Cuyo</v>
      </c>
      <c r="H363" t="str">
        <f>INDEX(Clientes!$C$2:$C$11,MATCH(Datos_Ventas!C363,Clientes!$A$2:$A$11,0))</f>
        <v>Retail</v>
      </c>
      <c r="I363" t="str">
        <f>INDEX(Clientes!$D$2:$D$11,MATCH(Datos_Ventas!C363,Clientes!$A$2:$A$11,0))</f>
        <v>Guaymallén</v>
      </c>
      <c r="J363">
        <f>Datos_Ventas!E363</f>
        <v>17</v>
      </c>
      <c r="K363" s="29">
        <f>Datos_Ventas!F363</f>
        <v>18140</v>
      </c>
      <c r="L363" s="29">
        <f>Datos_Ventas!G363</f>
        <v>308380</v>
      </c>
      <c r="M363" s="29">
        <f>J363*INDEX(Productos!$D$2:$D$11,MATCH(Datos_Ventas!D363,Productos!$A$2:$A$11,0))</f>
        <v>212500</v>
      </c>
      <c r="N363" s="29">
        <f t="shared" si="22"/>
        <v>95880</v>
      </c>
      <c r="O363" s="30">
        <f>K363/INDEX(Productos!$E$2:$E$11,MATCH(Datos_Ventas!D363,Productos!$A$2:$A$11,0))-1</f>
        <v>-4.0211640211640254E-2</v>
      </c>
      <c r="P363">
        <f t="shared" si="23"/>
        <v>1</v>
      </c>
    </row>
    <row r="364" spans="1:16" x14ac:dyDescent="0.2">
      <c r="A364">
        <f>Datos_Ventas!A364</f>
        <v>383</v>
      </c>
      <c r="B364" s="13">
        <f>Datos_Ventas!B364</f>
        <v>46270</v>
      </c>
      <c r="C364" t="str">
        <f t="shared" si="20"/>
        <v>09 Sep</v>
      </c>
      <c r="D364" t="str">
        <f t="shared" si="21"/>
        <v>T3</v>
      </c>
      <c r="E364" t="str">
        <f>INDEX(Productos!$B$2:$B$11,MATCH(Datos_Ventas!D364,Productos!$A$2:$A$11,0))</f>
        <v>Shampoo Mascotas</v>
      </c>
      <c r="F364" t="str">
        <f>INDEX(Productos!$C$2:$C$11,MATCH(Datos_Ventas!D364,Productos!$A$2:$A$11,0))</f>
        <v>Higiene</v>
      </c>
      <c r="G364" t="str">
        <f>INDEX(Clientes!$B$2:$B$11,MATCH(Datos_Ventas!C364,Clientes!$A$2:$A$11,0))</f>
        <v>Autoservicio Norte</v>
      </c>
      <c r="H364" t="str">
        <f>INDEX(Clientes!$C$2:$C$11,MATCH(Datos_Ventas!C364,Clientes!$A$2:$A$11,0))</f>
        <v>Retail</v>
      </c>
      <c r="I364" t="str">
        <f>INDEX(Clientes!$D$2:$D$11,MATCH(Datos_Ventas!C364,Clientes!$A$2:$A$11,0))</f>
        <v>Las Heras</v>
      </c>
      <c r="J364">
        <f>Datos_Ventas!E364</f>
        <v>3</v>
      </c>
      <c r="K364" s="29">
        <f>Datos_Ventas!F364</f>
        <v>3720</v>
      </c>
      <c r="L364" s="29">
        <f>Datos_Ventas!G364</f>
        <v>11160</v>
      </c>
      <c r="M364" s="29">
        <f>J364*INDEX(Productos!$D$2:$D$11,MATCH(Datos_Ventas!D364,Productos!$A$2:$A$11,0))</f>
        <v>6600</v>
      </c>
      <c r="N364" s="29">
        <f t="shared" si="22"/>
        <v>4560</v>
      </c>
      <c r="O364" s="30">
        <f>K364/INDEX(Productos!$E$2:$E$11,MATCH(Datos_Ventas!D364,Productos!$A$2:$A$11,0))-1</f>
        <v>-4.6153846153846101E-2</v>
      </c>
      <c r="P364">
        <f t="shared" si="23"/>
        <v>1</v>
      </c>
    </row>
    <row r="365" spans="1:16" x14ac:dyDescent="0.2">
      <c r="A365">
        <f>Datos_Ventas!A365</f>
        <v>385</v>
      </c>
      <c r="B365" s="13">
        <f>Datos_Ventas!B365</f>
        <v>46272</v>
      </c>
      <c r="C365" t="str">
        <f t="shared" si="20"/>
        <v>09 Sep</v>
      </c>
      <c r="D365" t="str">
        <f t="shared" si="21"/>
        <v>T3</v>
      </c>
      <c r="E365" t="str">
        <f>INDEX(Productos!$B$2:$B$11,MATCH(Datos_Ventas!D365,Productos!$A$2:$A$11,0))</f>
        <v>Correa Reforzada</v>
      </c>
      <c r="F365" t="str">
        <f>INDEX(Productos!$C$2:$C$11,MATCH(Datos_Ventas!D365,Productos!$A$2:$A$11,0))</f>
        <v>Accesorios</v>
      </c>
      <c r="G365" t="str">
        <f>INDEX(Clientes!$B$2:$B$11,MATCH(Datos_Ventas!C365,Clientes!$A$2:$A$11,0))</f>
        <v>Almacén Don Pedro</v>
      </c>
      <c r="H365" t="str">
        <f>INDEX(Clientes!$C$2:$C$11,MATCH(Datos_Ventas!C365,Clientes!$A$2:$A$11,0))</f>
        <v>Minorista</v>
      </c>
      <c r="I365" t="str">
        <f>INDEX(Clientes!$D$2:$D$11,MATCH(Datos_Ventas!C365,Clientes!$A$2:$A$11,0))</f>
        <v>Maipú</v>
      </c>
      <c r="J365">
        <f>Datos_Ventas!E365</f>
        <v>20</v>
      </c>
      <c r="K365" s="29">
        <f>Datos_Ventas!F365</f>
        <v>5350</v>
      </c>
      <c r="L365" s="29">
        <f>Datos_Ventas!G365</f>
        <v>107000</v>
      </c>
      <c r="M365" s="29">
        <f>J365*INDEX(Productos!$D$2:$D$11,MATCH(Datos_Ventas!D365,Productos!$A$2:$A$11,0))</f>
        <v>56000</v>
      </c>
      <c r="N365" s="29">
        <f t="shared" si="22"/>
        <v>51000</v>
      </c>
      <c r="O365" s="30">
        <f>K365/INDEX(Productos!$E$2:$E$11,MATCH(Datos_Ventas!D365,Productos!$A$2:$A$11,0))-1</f>
        <v>2.8846153846153744E-2</v>
      </c>
      <c r="P365">
        <f t="shared" si="23"/>
        <v>1</v>
      </c>
    </row>
    <row r="366" spans="1:16" x14ac:dyDescent="0.2">
      <c r="A366">
        <f>Datos_Ventas!A366</f>
        <v>386</v>
      </c>
      <c r="B366" s="13">
        <f>Datos_Ventas!B366</f>
        <v>46272</v>
      </c>
      <c r="C366" t="str">
        <f t="shared" si="20"/>
        <v>09 Sep</v>
      </c>
      <c r="D366" t="str">
        <f t="shared" si="21"/>
        <v>T3</v>
      </c>
      <c r="E366" t="str">
        <f>INDEX(Productos!$B$2:$B$11,MATCH(Datos_Ventas!D366,Productos!$A$2:$A$11,0))</f>
        <v>Arena Sanitaria</v>
      </c>
      <c r="F366" t="str">
        <f>INDEX(Productos!$C$2:$C$11,MATCH(Datos_Ventas!D366,Productos!$A$2:$A$11,0))</f>
        <v>Higiene</v>
      </c>
      <c r="G366" t="str">
        <f>INDEX(Clientes!$B$2:$B$11,MATCH(Datos_Ventas!C366,Clientes!$A$2:$A$11,0))</f>
        <v>Autoservicio Norte</v>
      </c>
      <c r="H366" t="str">
        <f>INDEX(Clientes!$C$2:$C$11,MATCH(Datos_Ventas!C366,Clientes!$A$2:$A$11,0))</f>
        <v>Retail</v>
      </c>
      <c r="I366" t="str">
        <f>INDEX(Clientes!$D$2:$D$11,MATCH(Datos_Ventas!C366,Clientes!$A$2:$A$11,0))</f>
        <v>Las Heras</v>
      </c>
      <c r="J366">
        <f>Datos_Ventas!E366</f>
        <v>5</v>
      </c>
      <c r="K366" s="29">
        <f>Datos_Ventas!F366</f>
        <v>4230</v>
      </c>
      <c r="L366" s="29">
        <f>Datos_Ventas!G366</f>
        <v>21150</v>
      </c>
      <c r="M366" s="29">
        <f>J366*INDEX(Productos!$D$2:$D$11,MATCH(Datos_Ventas!D366,Productos!$A$2:$A$11,0))</f>
        <v>13000</v>
      </c>
      <c r="N366" s="29">
        <f t="shared" si="22"/>
        <v>8150</v>
      </c>
      <c r="O366" s="30">
        <f>K366/INDEX(Productos!$E$2:$E$11,MATCH(Datos_Ventas!D366,Productos!$A$2:$A$11,0))-1</f>
        <v>-3.8636363636363691E-2</v>
      </c>
      <c r="P366">
        <f t="shared" si="23"/>
        <v>1</v>
      </c>
    </row>
    <row r="367" spans="1:16" x14ac:dyDescent="0.2">
      <c r="A367">
        <f>Datos_Ventas!A367</f>
        <v>388</v>
      </c>
      <c r="B367" s="13">
        <f>Datos_Ventas!B367</f>
        <v>46274</v>
      </c>
      <c r="C367" t="str">
        <f t="shared" si="20"/>
        <v>09 Sep</v>
      </c>
      <c r="D367" t="str">
        <f t="shared" si="21"/>
        <v>T3</v>
      </c>
      <c r="E367" t="str">
        <f>INDEX(Productos!$B$2:$B$11,MATCH(Datos_Ventas!D367,Productos!$A$2:$A$11,0))</f>
        <v>Alimento Balanceado 15kg</v>
      </c>
      <c r="F367" t="str">
        <f>INDEX(Productos!$C$2:$C$11,MATCH(Datos_Ventas!D367,Productos!$A$2:$A$11,0))</f>
        <v>Alimentos</v>
      </c>
      <c r="G367" t="str">
        <f>INDEX(Clientes!$B$2:$B$11,MATCH(Datos_Ventas!C367,Clientes!$A$2:$A$11,0))</f>
        <v>Veterinaria Sur</v>
      </c>
      <c r="H367" t="str">
        <f>INDEX(Clientes!$C$2:$C$11,MATCH(Datos_Ventas!C367,Clientes!$A$2:$A$11,0))</f>
        <v>Especializado</v>
      </c>
      <c r="I367" t="str">
        <f>INDEX(Clientes!$D$2:$D$11,MATCH(Datos_Ventas!C367,Clientes!$A$2:$A$11,0))</f>
        <v>Godoy Cruz</v>
      </c>
      <c r="J367">
        <f>Datos_Ventas!E367</f>
        <v>7</v>
      </c>
      <c r="K367" s="29">
        <f>Datos_Ventas!F367</f>
        <v>13630</v>
      </c>
      <c r="L367" s="29">
        <f>Datos_Ventas!G367</f>
        <v>95410</v>
      </c>
      <c r="M367" s="29">
        <f>J367*INDEX(Productos!$D$2:$D$11,MATCH(Datos_Ventas!D367,Productos!$A$2:$A$11,0))</f>
        <v>68600</v>
      </c>
      <c r="N367" s="29">
        <f t="shared" si="22"/>
        <v>26810</v>
      </c>
      <c r="O367" s="30">
        <f>K367/INDEX(Productos!$E$2:$E$11,MATCH(Datos_Ventas!D367,Productos!$A$2:$A$11,0))-1</f>
        <v>-6.0000000000000053E-2</v>
      </c>
      <c r="P367">
        <f t="shared" si="23"/>
        <v>1</v>
      </c>
    </row>
    <row r="368" spans="1:16" x14ac:dyDescent="0.2">
      <c r="A368">
        <f>Datos_Ventas!A368</f>
        <v>389</v>
      </c>
      <c r="B368" s="13">
        <f>Datos_Ventas!B368</f>
        <v>46274</v>
      </c>
      <c r="C368" t="str">
        <f t="shared" si="20"/>
        <v>09 Sep</v>
      </c>
      <c r="D368" t="str">
        <f t="shared" si="21"/>
        <v>T3</v>
      </c>
      <c r="E368" t="str">
        <f>INDEX(Productos!$B$2:$B$11,MATCH(Datos_Ventas!D368,Productos!$A$2:$A$11,0))</f>
        <v>Arena Sanitaria</v>
      </c>
      <c r="F368" t="str">
        <f>INDEX(Productos!$C$2:$C$11,MATCH(Datos_Ventas!D368,Productos!$A$2:$A$11,0))</f>
        <v>Higiene</v>
      </c>
      <c r="G368" t="str">
        <f>INDEX(Clientes!$B$2:$B$11,MATCH(Datos_Ventas!C368,Clientes!$A$2:$A$11,0))</f>
        <v>Distribuidora Andes</v>
      </c>
      <c r="H368" t="str">
        <f>INDEX(Clientes!$C$2:$C$11,MATCH(Datos_Ventas!C368,Clientes!$A$2:$A$11,0))</f>
        <v>Mayorista</v>
      </c>
      <c r="I368" t="str">
        <f>INDEX(Clientes!$D$2:$D$11,MATCH(Datos_Ventas!C368,Clientes!$A$2:$A$11,0))</f>
        <v>Mendoza</v>
      </c>
      <c r="J368">
        <f>Datos_Ventas!E368</f>
        <v>31</v>
      </c>
      <c r="K368" s="29">
        <f>Datos_Ventas!F368</f>
        <v>4640</v>
      </c>
      <c r="L368" s="29">
        <f>Datos_Ventas!G368</f>
        <v>143840</v>
      </c>
      <c r="M368" s="29">
        <f>J368*INDEX(Productos!$D$2:$D$11,MATCH(Datos_Ventas!D368,Productos!$A$2:$A$11,0))</f>
        <v>80600</v>
      </c>
      <c r="N368" s="29">
        <f t="shared" si="22"/>
        <v>63240</v>
      </c>
      <c r="O368" s="30">
        <f>K368/INDEX(Productos!$E$2:$E$11,MATCH(Datos_Ventas!D368,Productos!$A$2:$A$11,0))-1</f>
        <v>5.4545454545454453E-2</v>
      </c>
      <c r="P368">
        <f t="shared" si="23"/>
        <v>1</v>
      </c>
    </row>
    <row r="369" spans="1:16" x14ac:dyDescent="0.2">
      <c r="A369">
        <f>Datos_Ventas!A369</f>
        <v>390</v>
      </c>
      <c r="B369" s="13">
        <f>Datos_Ventas!B369</f>
        <v>46274</v>
      </c>
      <c r="C369" t="str">
        <f t="shared" si="20"/>
        <v>09 Sep</v>
      </c>
      <c r="D369" t="str">
        <f t="shared" si="21"/>
        <v>T3</v>
      </c>
      <c r="E369" t="str">
        <f>INDEX(Productos!$B$2:$B$11,MATCH(Datos_Ventas!D369,Productos!$A$2:$A$11,0))</f>
        <v>Snack Dental</v>
      </c>
      <c r="F369" t="str">
        <f>INDEX(Productos!$C$2:$C$11,MATCH(Datos_Ventas!D369,Productos!$A$2:$A$11,0))</f>
        <v>Snacks</v>
      </c>
      <c r="G369" t="str">
        <f>INDEX(Clientes!$B$2:$B$11,MATCH(Datos_Ventas!C369,Clientes!$A$2:$A$11,0))</f>
        <v>Veterinaria Sur</v>
      </c>
      <c r="H369" t="str">
        <f>INDEX(Clientes!$C$2:$C$11,MATCH(Datos_Ventas!C369,Clientes!$A$2:$A$11,0))</f>
        <v>Especializado</v>
      </c>
      <c r="I369" t="str">
        <f>INDEX(Clientes!$D$2:$D$11,MATCH(Datos_Ventas!C369,Clientes!$A$2:$A$11,0))</f>
        <v>Godoy Cruz</v>
      </c>
      <c r="J369">
        <f>Datos_Ventas!E369</f>
        <v>29</v>
      </c>
      <c r="K369" s="29">
        <f>Datos_Ventas!F369</f>
        <v>3420</v>
      </c>
      <c r="L369" s="29">
        <f>Datos_Ventas!G369</f>
        <v>99180</v>
      </c>
      <c r="M369" s="29">
        <f>J369*INDEX(Productos!$D$2:$D$11,MATCH(Datos_Ventas!D369,Productos!$A$2:$A$11,0))</f>
        <v>52200</v>
      </c>
      <c r="N369" s="29">
        <f t="shared" si="22"/>
        <v>46980</v>
      </c>
      <c r="O369" s="30">
        <f>K369/INDEX(Productos!$E$2:$E$11,MATCH(Datos_Ventas!D369,Productos!$A$2:$A$11,0))-1</f>
        <v>6.8750000000000089E-2</v>
      </c>
      <c r="P369">
        <f t="shared" si="23"/>
        <v>1</v>
      </c>
    </row>
    <row r="370" spans="1:16" x14ac:dyDescent="0.2">
      <c r="A370">
        <f>Datos_Ventas!A370</f>
        <v>391</v>
      </c>
      <c r="B370" s="13">
        <f>Datos_Ventas!B370</f>
        <v>46275</v>
      </c>
      <c r="C370" t="str">
        <f t="shared" si="20"/>
        <v>09 Sep</v>
      </c>
      <c r="D370" t="str">
        <f t="shared" si="21"/>
        <v>T3</v>
      </c>
      <c r="E370" t="str">
        <f>INDEX(Productos!$B$2:$B$11,MATCH(Datos_Ventas!D370,Productos!$A$2:$A$11,0))</f>
        <v>Juguete Pelota</v>
      </c>
      <c r="F370" t="str">
        <f>INDEX(Productos!$C$2:$C$11,MATCH(Datos_Ventas!D370,Productos!$A$2:$A$11,0))</f>
        <v>Accesorios</v>
      </c>
      <c r="G370" t="str">
        <f>INDEX(Clientes!$B$2:$B$11,MATCH(Datos_Ventas!C370,Clientes!$A$2:$A$11,0))</f>
        <v>Pet Shop Mascotas</v>
      </c>
      <c r="H370" t="str">
        <f>INDEX(Clientes!$C$2:$C$11,MATCH(Datos_Ventas!C370,Clientes!$A$2:$A$11,0))</f>
        <v>Especializado</v>
      </c>
      <c r="I370" t="str">
        <f>INDEX(Clientes!$D$2:$D$11,MATCH(Datos_Ventas!C370,Clientes!$A$2:$A$11,0))</f>
        <v>Mendoza</v>
      </c>
      <c r="J370">
        <f>Datos_Ventas!E370</f>
        <v>14</v>
      </c>
      <c r="K370" s="29">
        <f>Datos_Ventas!F370</f>
        <v>1810</v>
      </c>
      <c r="L370" s="29">
        <f>Datos_Ventas!G370</f>
        <v>25340</v>
      </c>
      <c r="M370" s="29">
        <f>J370*INDEX(Productos!$D$2:$D$11,MATCH(Datos_Ventas!D370,Productos!$A$2:$A$11,0))</f>
        <v>12600</v>
      </c>
      <c r="N370" s="29">
        <f t="shared" si="22"/>
        <v>12740</v>
      </c>
      <c r="O370" s="30">
        <f>K370/INDEX(Productos!$E$2:$E$11,MATCH(Datos_Ventas!D370,Productos!$A$2:$A$11,0))-1</f>
        <v>5.5555555555555358E-3</v>
      </c>
      <c r="P370">
        <f t="shared" si="23"/>
        <v>1</v>
      </c>
    </row>
    <row r="371" spans="1:16" x14ac:dyDescent="0.2">
      <c r="A371">
        <f>Datos_Ventas!A371</f>
        <v>392</v>
      </c>
      <c r="B371" s="13">
        <f>Datos_Ventas!B371</f>
        <v>46276</v>
      </c>
      <c r="C371" t="str">
        <f t="shared" si="20"/>
        <v>09 Sep</v>
      </c>
      <c r="D371" t="str">
        <f t="shared" si="21"/>
        <v>T3</v>
      </c>
      <c r="E371" t="str">
        <f>INDEX(Productos!$B$2:$B$11,MATCH(Datos_Ventas!D371,Productos!$A$2:$A$11,0))</f>
        <v>Aceite Omega</v>
      </c>
      <c r="F371" t="str">
        <f>INDEX(Productos!$C$2:$C$11,MATCH(Datos_Ventas!D371,Productos!$A$2:$A$11,0))</f>
        <v>Suplementos</v>
      </c>
      <c r="G371" t="str">
        <f>INDEX(Clientes!$B$2:$B$11,MATCH(Datos_Ventas!C371,Clientes!$A$2:$A$11,0))</f>
        <v>Distribuidora Andes</v>
      </c>
      <c r="H371" t="str">
        <f>INDEX(Clientes!$C$2:$C$11,MATCH(Datos_Ventas!C371,Clientes!$A$2:$A$11,0))</f>
        <v>Mayorista</v>
      </c>
      <c r="I371" t="str">
        <f>INDEX(Clientes!$D$2:$D$11,MATCH(Datos_Ventas!C371,Clientes!$A$2:$A$11,0))</f>
        <v>Mendoza</v>
      </c>
      <c r="J371">
        <f>Datos_Ventas!E371</f>
        <v>37</v>
      </c>
      <c r="K371" s="29">
        <f>Datos_Ventas!F371</f>
        <v>5330</v>
      </c>
      <c r="L371" s="29">
        <f>Datos_Ventas!G371</f>
        <v>197210</v>
      </c>
      <c r="M371" s="29">
        <f>J371*INDEX(Productos!$D$2:$D$11,MATCH(Datos_Ventas!D371,Productos!$A$2:$A$11,0))</f>
        <v>114700</v>
      </c>
      <c r="N371" s="29">
        <f t="shared" si="22"/>
        <v>82510</v>
      </c>
      <c r="O371" s="30">
        <f>K371/INDEX(Productos!$E$2:$E$11,MATCH(Datos_Ventas!D371,Productos!$A$2:$A$11,0))-1</f>
        <v>-4.8214285714285765E-2</v>
      </c>
      <c r="P371">
        <f t="shared" si="23"/>
        <v>1</v>
      </c>
    </row>
    <row r="372" spans="1:16" x14ac:dyDescent="0.2">
      <c r="A372">
        <f>Datos_Ventas!A372</f>
        <v>393</v>
      </c>
      <c r="B372" s="13">
        <f>Datos_Ventas!B372</f>
        <v>46276</v>
      </c>
      <c r="C372" t="str">
        <f t="shared" si="20"/>
        <v>09 Sep</v>
      </c>
      <c r="D372" t="str">
        <f t="shared" si="21"/>
        <v>T3</v>
      </c>
      <c r="E372" t="str">
        <f>INDEX(Productos!$B$2:$B$11,MATCH(Datos_Ventas!D372,Productos!$A$2:$A$11,0))</f>
        <v>Alimento Balanceado 15kg</v>
      </c>
      <c r="F372" t="str">
        <f>INDEX(Productos!$C$2:$C$11,MATCH(Datos_Ventas!D372,Productos!$A$2:$A$11,0))</f>
        <v>Alimentos</v>
      </c>
      <c r="G372" t="str">
        <f>INDEX(Clientes!$B$2:$B$11,MATCH(Datos_Ventas!C372,Clientes!$A$2:$A$11,0))</f>
        <v>Distribuidora Andes</v>
      </c>
      <c r="H372" t="str">
        <f>INDEX(Clientes!$C$2:$C$11,MATCH(Datos_Ventas!C372,Clientes!$A$2:$A$11,0))</f>
        <v>Mayorista</v>
      </c>
      <c r="I372" t="str">
        <f>INDEX(Clientes!$D$2:$D$11,MATCH(Datos_Ventas!C372,Clientes!$A$2:$A$11,0))</f>
        <v>Mendoza</v>
      </c>
      <c r="J372">
        <f>Datos_Ventas!E372</f>
        <v>38</v>
      </c>
      <c r="K372" s="29">
        <f>Datos_Ventas!F372</f>
        <v>14290</v>
      </c>
      <c r="L372" s="29">
        <f>Datos_Ventas!G372</f>
        <v>543020</v>
      </c>
      <c r="M372" s="29">
        <f>J372*INDEX(Productos!$D$2:$D$11,MATCH(Datos_Ventas!D372,Productos!$A$2:$A$11,0))</f>
        <v>372400</v>
      </c>
      <c r="N372" s="29">
        <f t="shared" si="22"/>
        <v>170620</v>
      </c>
      <c r="O372" s="30">
        <f>K372/INDEX(Productos!$E$2:$E$11,MATCH(Datos_Ventas!D372,Productos!$A$2:$A$11,0))-1</f>
        <v>-1.4482758620689706E-2</v>
      </c>
      <c r="P372">
        <f t="shared" si="23"/>
        <v>1</v>
      </c>
    </row>
    <row r="373" spans="1:16" x14ac:dyDescent="0.2">
      <c r="A373">
        <f>Datos_Ventas!A373</f>
        <v>395</v>
      </c>
      <c r="B373" s="13">
        <f>Datos_Ventas!B373</f>
        <v>46278</v>
      </c>
      <c r="C373" t="str">
        <f t="shared" si="20"/>
        <v>09 Sep</v>
      </c>
      <c r="D373" t="str">
        <f t="shared" si="21"/>
        <v>T3</v>
      </c>
      <c r="E373" t="str">
        <f>INDEX(Productos!$B$2:$B$11,MATCH(Datos_Ventas!D373,Productos!$A$2:$A$11,0))</f>
        <v>Snack Dental</v>
      </c>
      <c r="F373" t="str">
        <f>INDEX(Productos!$C$2:$C$11,MATCH(Datos_Ventas!D373,Productos!$A$2:$A$11,0))</f>
        <v>Snacks</v>
      </c>
      <c r="G373" t="str">
        <f>INDEX(Clientes!$B$2:$B$11,MATCH(Datos_Ventas!C373,Clientes!$A$2:$A$11,0))</f>
        <v>Mayorista del Sol</v>
      </c>
      <c r="H373" t="str">
        <f>INDEX(Clientes!$C$2:$C$11,MATCH(Datos_Ventas!C373,Clientes!$A$2:$A$11,0))</f>
        <v>Mayorista</v>
      </c>
      <c r="I373" t="str">
        <f>INDEX(Clientes!$D$2:$D$11,MATCH(Datos_Ventas!C373,Clientes!$A$2:$A$11,0))</f>
        <v>San Martín</v>
      </c>
      <c r="J373">
        <f>Datos_Ventas!E373</f>
        <v>6</v>
      </c>
      <c r="K373" s="29">
        <f>Datos_Ventas!F373</f>
        <v>3190</v>
      </c>
      <c r="L373" s="29">
        <f>Datos_Ventas!G373</f>
        <v>19140</v>
      </c>
      <c r="M373" s="29">
        <f>J373*INDEX(Productos!$D$2:$D$11,MATCH(Datos_Ventas!D373,Productos!$A$2:$A$11,0))</f>
        <v>10800</v>
      </c>
      <c r="N373" s="29">
        <f t="shared" si="22"/>
        <v>8340</v>
      </c>
      <c r="O373" s="30">
        <f>K373/INDEX(Productos!$E$2:$E$11,MATCH(Datos_Ventas!D373,Productos!$A$2:$A$11,0))-1</f>
        <v>-3.1250000000000444E-3</v>
      </c>
      <c r="P373">
        <f t="shared" si="23"/>
        <v>1</v>
      </c>
    </row>
    <row r="374" spans="1:16" x14ac:dyDescent="0.2">
      <c r="A374">
        <f>Datos_Ventas!A374</f>
        <v>396</v>
      </c>
      <c r="B374" s="13">
        <f>Datos_Ventas!B374</f>
        <v>46279</v>
      </c>
      <c r="C374" t="str">
        <f t="shared" si="20"/>
        <v>09 Sep</v>
      </c>
      <c r="D374" t="str">
        <f t="shared" si="21"/>
        <v>T3</v>
      </c>
      <c r="E374" t="str">
        <f>INDEX(Productos!$B$2:$B$11,MATCH(Datos_Ventas!D374,Productos!$A$2:$A$11,0))</f>
        <v>Shampoo Mascotas</v>
      </c>
      <c r="F374" t="str">
        <f>INDEX(Productos!$C$2:$C$11,MATCH(Datos_Ventas!D374,Productos!$A$2:$A$11,0))</f>
        <v>Higiene</v>
      </c>
      <c r="G374" t="str">
        <f>INDEX(Clientes!$B$2:$B$11,MATCH(Datos_Ventas!C374,Clientes!$A$2:$A$11,0))</f>
        <v>Mayorista del Sol</v>
      </c>
      <c r="H374" t="str">
        <f>INDEX(Clientes!$C$2:$C$11,MATCH(Datos_Ventas!C374,Clientes!$A$2:$A$11,0))</f>
        <v>Mayorista</v>
      </c>
      <c r="I374" t="str">
        <f>INDEX(Clientes!$D$2:$D$11,MATCH(Datos_Ventas!C374,Clientes!$A$2:$A$11,0))</f>
        <v>San Martín</v>
      </c>
      <c r="J374">
        <f>Datos_Ventas!E374</f>
        <v>18</v>
      </c>
      <c r="K374" s="29">
        <f>Datos_Ventas!F374</f>
        <v>3980</v>
      </c>
      <c r="L374" s="29">
        <f>Datos_Ventas!G374</f>
        <v>71640</v>
      </c>
      <c r="M374" s="29">
        <f>J374*INDEX(Productos!$D$2:$D$11,MATCH(Datos_Ventas!D374,Productos!$A$2:$A$11,0))</f>
        <v>39600</v>
      </c>
      <c r="N374" s="29">
        <f t="shared" si="22"/>
        <v>32040</v>
      </c>
      <c r="O374" s="30">
        <f>K374/INDEX(Productos!$E$2:$E$11,MATCH(Datos_Ventas!D374,Productos!$A$2:$A$11,0))-1</f>
        <v>2.051282051282044E-2</v>
      </c>
      <c r="P374">
        <f t="shared" si="23"/>
        <v>1</v>
      </c>
    </row>
    <row r="375" spans="1:16" x14ac:dyDescent="0.2">
      <c r="A375">
        <f>Datos_Ventas!A375</f>
        <v>397</v>
      </c>
      <c r="B375" s="13">
        <f>Datos_Ventas!B375</f>
        <v>46279</v>
      </c>
      <c r="C375" t="str">
        <f t="shared" si="20"/>
        <v>09 Sep</v>
      </c>
      <c r="D375" t="str">
        <f t="shared" si="21"/>
        <v>T3</v>
      </c>
      <c r="E375" t="str">
        <f>INDEX(Productos!$B$2:$B$11,MATCH(Datos_Ventas!D375,Productos!$A$2:$A$11,0))</f>
        <v>Alimento Balanceado 15kg</v>
      </c>
      <c r="F375" t="str">
        <f>INDEX(Productos!$C$2:$C$11,MATCH(Datos_Ventas!D375,Productos!$A$2:$A$11,0))</f>
        <v>Alimentos</v>
      </c>
      <c r="G375" t="str">
        <f>INDEX(Clientes!$B$2:$B$11,MATCH(Datos_Ventas!C375,Clientes!$A$2:$A$11,0))</f>
        <v>Almacén Don Pedro</v>
      </c>
      <c r="H375" t="str">
        <f>INDEX(Clientes!$C$2:$C$11,MATCH(Datos_Ventas!C375,Clientes!$A$2:$A$11,0))</f>
        <v>Minorista</v>
      </c>
      <c r="I375" t="str">
        <f>INDEX(Clientes!$D$2:$D$11,MATCH(Datos_Ventas!C375,Clientes!$A$2:$A$11,0))</f>
        <v>Maipú</v>
      </c>
      <c r="J375">
        <f>Datos_Ventas!E375</f>
        <v>25</v>
      </c>
      <c r="K375" s="29">
        <f>Datos_Ventas!F375</f>
        <v>15390</v>
      </c>
      <c r="L375" s="29">
        <f>Datos_Ventas!G375</f>
        <v>384750</v>
      </c>
      <c r="M375" s="29">
        <f>J375*INDEX(Productos!$D$2:$D$11,MATCH(Datos_Ventas!D375,Productos!$A$2:$A$11,0))</f>
        <v>245000</v>
      </c>
      <c r="N375" s="29">
        <f t="shared" si="22"/>
        <v>139750</v>
      </c>
      <c r="O375" s="30">
        <f>K375/INDEX(Productos!$E$2:$E$11,MATCH(Datos_Ventas!D375,Productos!$A$2:$A$11,0))-1</f>
        <v>6.1379310344827687E-2</v>
      </c>
      <c r="P375">
        <f t="shared" si="23"/>
        <v>1</v>
      </c>
    </row>
    <row r="376" spans="1:16" x14ac:dyDescent="0.2">
      <c r="A376">
        <f>Datos_Ventas!A376</f>
        <v>398</v>
      </c>
      <c r="B376" s="13">
        <f>Datos_Ventas!B376</f>
        <v>46279</v>
      </c>
      <c r="C376" t="str">
        <f t="shared" si="20"/>
        <v>09 Sep</v>
      </c>
      <c r="D376" t="str">
        <f t="shared" si="21"/>
        <v>T3</v>
      </c>
      <c r="E376" t="str">
        <f>INDEX(Productos!$B$2:$B$11,MATCH(Datos_Ventas!D376,Productos!$A$2:$A$11,0))</f>
        <v>Arena Sanitaria</v>
      </c>
      <c r="F376" t="str">
        <f>INDEX(Productos!$C$2:$C$11,MATCH(Datos_Ventas!D376,Productos!$A$2:$A$11,0))</f>
        <v>Higiene</v>
      </c>
      <c r="G376" t="str">
        <f>INDEX(Clientes!$B$2:$B$11,MATCH(Datos_Ventas!C376,Clientes!$A$2:$A$11,0))</f>
        <v>Hiper Centro</v>
      </c>
      <c r="H376" t="str">
        <f>INDEX(Clientes!$C$2:$C$11,MATCH(Datos_Ventas!C376,Clientes!$A$2:$A$11,0))</f>
        <v>Retail</v>
      </c>
      <c r="I376" t="str">
        <f>INDEX(Clientes!$D$2:$D$11,MATCH(Datos_Ventas!C376,Clientes!$A$2:$A$11,0))</f>
        <v>Luján de Cuyo</v>
      </c>
      <c r="J376">
        <f>Datos_Ventas!E376</f>
        <v>11</v>
      </c>
      <c r="K376" s="29">
        <f>Datos_Ventas!F376</f>
        <v>4570</v>
      </c>
      <c r="L376" s="29">
        <f>Datos_Ventas!G376</f>
        <v>50270</v>
      </c>
      <c r="M376" s="29">
        <f>J376*INDEX(Productos!$D$2:$D$11,MATCH(Datos_Ventas!D376,Productos!$A$2:$A$11,0))</f>
        <v>28600</v>
      </c>
      <c r="N376" s="29">
        <f t="shared" si="22"/>
        <v>21670</v>
      </c>
      <c r="O376" s="30">
        <f>K376/INDEX(Productos!$E$2:$E$11,MATCH(Datos_Ventas!D376,Productos!$A$2:$A$11,0))-1</f>
        <v>3.863636363636358E-2</v>
      </c>
      <c r="P376">
        <f t="shared" si="23"/>
        <v>1</v>
      </c>
    </row>
    <row r="377" spans="1:16" x14ac:dyDescent="0.2">
      <c r="A377">
        <f>Datos_Ventas!A377</f>
        <v>399</v>
      </c>
      <c r="B377" s="13">
        <f>Datos_Ventas!B377</f>
        <v>46280</v>
      </c>
      <c r="C377" t="str">
        <f t="shared" si="20"/>
        <v>09 Sep</v>
      </c>
      <c r="D377" t="str">
        <f t="shared" si="21"/>
        <v>T3</v>
      </c>
      <c r="E377" t="str">
        <f>INDEX(Productos!$B$2:$B$11,MATCH(Datos_Ventas!D377,Productos!$A$2:$A$11,0))</f>
        <v>Collar Ajustable</v>
      </c>
      <c r="F377" t="str">
        <f>INDEX(Productos!$C$2:$C$11,MATCH(Datos_Ventas!D377,Productos!$A$2:$A$11,0))</f>
        <v>Accesorios</v>
      </c>
      <c r="G377" t="str">
        <f>INDEX(Clientes!$B$2:$B$11,MATCH(Datos_Ventas!C377,Clientes!$A$2:$A$11,0))</f>
        <v>Mayorista del Sol</v>
      </c>
      <c r="H377" t="str">
        <f>INDEX(Clientes!$C$2:$C$11,MATCH(Datos_Ventas!C377,Clientes!$A$2:$A$11,0))</f>
        <v>Mayorista</v>
      </c>
      <c r="I377" t="str">
        <f>INDEX(Clientes!$D$2:$D$11,MATCH(Datos_Ventas!C377,Clientes!$A$2:$A$11,0))</f>
        <v>San Martín</v>
      </c>
      <c r="J377">
        <f>Datos_Ventas!E377</f>
        <v>38</v>
      </c>
      <c r="K377" s="29">
        <f>Datos_Ventas!F377</f>
        <v>3480</v>
      </c>
      <c r="L377" s="29">
        <f>Datos_Ventas!G377</f>
        <v>132240</v>
      </c>
      <c r="M377" s="29">
        <f>J377*INDEX(Productos!$D$2:$D$11,MATCH(Datos_Ventas!D377,Productos!$A$2:$A$11,0))</f>
        <v>72200</v>
      </c>
      <c r="N377" s="29">
        <f t="shared" si="22"/>
        <v>60040</v>
      </c>
      <c r="O377" s="30">
        <f>K377/INDEX(Productos!$E$2:$E$11,MATCH(Datos_Ventas!D377,Productos!$A$2:$A$11,0))-1</f>
        <v>-3.3333333333333326E-2</v>
      </c>
      <c r="P377">
        <f t="shared" si="23"/>
        <v>1</v>
      </c>
    </row>
    <row r="378" spans="1:16" x14ac:dyDescent="0.2">
      <c r="A378">
        <f>Datos_Ventas!A378</f>
        <v>400</v>
      </c>
      <c r="B378" s="13">
        <f>Datos_Ventas!B378</f>
        <v>46281</v>
      </c>
      <c r="C378" t="str">
        <f t="shared" si="20"/>
        <v>09 Sep</v>
      </c>
      <c r="D378" t="str">
        <f t="shared" si="21"/>
        <v>T3</v>
      </c>
      <c r="E378" t="str">
        <f>INDEX(Productos!$B$2:$B$11,MATCH(Datos_Ventas!D378,Productos!$A$2:$A$11,0))</f>
        <v>Juguete Pelota</v>
      </c>
      <c r="F378" t="str">
        <f>INDEX(Productos!$C$2:$C$11,MATCH(Datos_Ventas!D378,Productos!$A$2:$A$11,0))</f>
        <v>Accesorios</v>
      </c>
      <c r="G378" t="str">
        <f>INDEX(Clientes!$B$2:$B$11,MATCH(Datos_Ventas!C378,Clientes!$A$2:$A$11,0))</f>
        <v>Hiper Centro</v>
      </c>
      <c r="H378" t="str">
        <f>INDEX(Clientes!$C$2:$C$11,MATCH(Datos_Ventas!C378,Clientes!$A$2:$A$11,0))</f>
        <v>Retail</v>
      </c>
      <c r="I378" t="str">
        <f>INDEX(Clientes!$D$2:$D$11,MATCH(Datos_Ventas!C378,Clientes!$A$2:$A$11,0))</f>
        <v>Luján de Cuyo</v>
      </c>
      <c r="J378">
        <f>Datos_Ventas!E378</f>
        <v>36</v>
      </c>
      <c r="K378" s="29">
        <f>Datos_Ventas!F378</f>
        <v>1830</v>
      </c>
      <c r="L378" s="29">
        <f>Datos_Ventas!G378</f>
        <v>65880</v>
      </c>
      <c r="M378" s="29">
        <f>J378*INDEX(Productos!$D$2:$D$11,MATCH(Datos_Ventas!D378,Productos!$A$2:$A$11,0))</f>
        <v>32400</v>
      </c>
      <c r="N378" s="29">
        <f t="shared" si="22"/>
        <v>33480</v>
      </c>
      <c r="O378" s="30">
        <f>K378/INDEX(Productos!$E$2:$E$11,MATCH(Datos_Ventas!D378,Productos!$A$2:$A$11,0))-1</f>
        <v>1.6666666666666607E-2</v>
      </c>
      <c r="P378">
        <f t="shared" si="23"/>
        <v>1</v>
      </c>
    </row>
    <row r="379" spans="1:16" x14ac:dyDescent="0.2">
      <c r="A379">
        <f>Datos_Ventas!A379</f>
        <v>401</v>
      </c>
      <c r="B379" s="13">
        <f>Datos_Ventas!B379</f>
        <v>46281</v>
      </c>
      <c r="C379" t="str">
        <f t="shared" si="20"/>
        <v>09 Sep</v>
      </c>
      <c r="D379" t="str">
        <f t="shared" si="21"/>
        <v>T3</v>
      </c>
      <c r="E379" t="str">
        <f>INDEX(Productos!$B$2:$B$11,MATCH(Datos_Ventas!D379,Productos!$A$2:$A$11,0))</f>
        <v>Galletas Perro</v>
      </c>
      <c r="F379" t="str">
        <f>INDEX(Productos!$C$2:$C$11,MATCH(Datos_Ventas!D379,Productos!$A$2:$A$11,0))</f>
        <v>Snacks</v>
      </c>
      <c r="G379" t="str">
        <f>INDEX(Clientes!$B$2:$B$11,MATCH(Datos_Ventas!C379,Clientes!$A$2:$A$11,0))</f>
        <v>Veterinaria Sur</v>
      </c>
      <c r="H379" t="str">
        <f>INDEX(Clientes!$C$2:$C$11,MATCH(Datos_Ventas!C379,Clientes!$A$2:$A$11,0))</f>
        <v>Especializado</v>
      </c>
      <c r="I379" t="str">
        <f>INDEX(Clientes!$D$2:$D$11,MATCH(Datos_Ventas!C379,Clientes!$A$2:$A$11,0))</f>
        <v>Godoy Cruz</v>
      </c>
      <c r="J379">
        <f>Datos_Ventas!E379</f>
        <v>20</v>
      </c>
      <c r="K379" s="29">
        <f>Datos_Ventas!F379</f>
        <v>2500</v>
      </c>
      <c r="L379" s="29">
        <f>Datos_Ventas!G379</f>
        <v>50000</v>
      </c>
      <c r="M379" s="29">
        <f>J379*INDEX(Productos!$D$2:$D$11,MATCH(Datos_Ventas!D379,Productos!$A$2:$A$11,0))</f>
        <v>30000</v>
      </c>
      <c r="N379" s="29">
        <f t="shared" si="22"/>
        <v>20000</v>
      </c>
      <c r="O379" s="30">
        <f>K379/INDEX(Productos!$E$2:$E$11,MATCH(Datos_Ventas!D379,Productos!$A$2:$A$11,0))-1</f>
        <v>-7.407407407407407E-2</v>
      </c>
      <c r="P379">
        <f t="shared" si="23"/>
        <v>1</v>
      </c>
    </row>
    <row r="380" spans="1:16" x14ac:dyDescent="0.2">
      <c r="A380">
        <f>Datos_Ventas!A380</f>
        <v>402</v>
      </c>
      <c r="B380" s="13">
        <f>Datos_Ventas!B380</f>
        <v>46282</v>
      </c>
      <c r="C380" t="str">
        <f t="shared" si="20"/>
        <v>09 Sep</v>
      </c>
      <c r="D380" t="str">
        <f t="shared" si="21"/>
        <v>T3</v>
      </c>
      <c r="E380" t="str">
        <f>INDEX(Productos!$B$2:$B$11,MATCH(Datos_Ventas!D380,Productos!$A$2:$A$11,0))</f>
        <v>Alimento Premium 10kg</v>
      </c>
      <c r="F380" t="str">
        <f>INDEX(Productos!$C$2:$C$11,MATCH(Datos_Ventas!D380,Productos!$A$2:$A$11,0))</f>
        <v>Alimentos</v>
      </c>
      <c r="G380" t="str">
        <f>INDEX(Clientes!$B$2:$B$11,MATCH(Datos_Ventas!C380,Clientes!$A$2:$A$11,0))</f>
        <v>Despensa Vero</v>
      </c>
      <c r="H380" t="str">
        <f>INDEX(Clientes!$C$2:$C$11,MATCH(Datos_Ventas!C380,Clientes!$A$2:$A$11,0))</f>
        <v>Minorista</v>
      </c>
      <c r="I380" t="str">
        <f>INDEX(Clientes!$D$2:$D$11,MATCH(Datos_Ventas!C380,Clientes!$A$2:$A$11,0))</f>
        <v>Mendoza</v>
      </c>
      <c r="J380">
        <f>Datos_Ventas!E380</f>
        <v>30</v>
      </c>
      <c r="K380" s="29">
        <f>Datos_Ventas!F380</f>
        <v>18640</v>
      </c>
      <c r="L380" s="29">
        <f>Datos_Ventas!G380</f>
        <v>559200</v>
      </c>
      <c r="M380" s="29">
        <f>J380*INDEX(Productos!$D$2:$D$11,MATCH(Datos_Ventas!D380,Productos!$A$2:$A$11,0))</f>
        <v>375000</v>
      </c>
      <c r="N380" s="29">
        <f t="shared" si="22"/>
        <v>184200</v>
      </c>
      <c r="O380" s="30">
        <f>K380/INDEX(Productos!$E$2:$E$11,MATCH(Datos_Ventas!D380,Productos!$A$2:$A$11,0))-1</f>
        <v>-1.3756613756613745E-2</v>
      </c>
      <c r="P380">
        <f t="shared" si="23"/>
        <v>1</v>
      </c>
    </row>
    <row r="381" spans="1:16" x14ac:dyDescent="0.2">
      <c r="A381">
        <f>Datos_Ventas!A381</f>
        <v>403</v>
      </c>
      <c r="B381" s="13">
        <f>Datos_Ventas!B381</f>
        <v>46282</v>
      </c>
      <c r="C381" t="str">
        <f t="shared" si="20"/>
        <v>09 Sep</v>
      </c>
      <c r="D381" t="str">
        <f t="shared" si="21"/>
        <v>T3</v>
      </c>
      <c r="E381" t="str">
        <f>INDEX(Productos!$B$2:$B$11,MATCH(Datos_Ventas!D381,Productos!$A$2:$A$11,0))</f>
        <v>Collar Ajustable</v>
      </c>
      <c r="F381" t="str">
        <f>INDEX(Productos!$C$2:$C$11,MATCH(Datos_Ventas!D381,Productos!$A$2:$A$11,0))</f>
        <v>Accesorios</v>
      </c>
      <c r="G381" t="str">
        <f>INDEX(Clientes!$B$2:$B$11,MATCH(Datos_Ventas!C381,Clientes!$A$2:$A$11,0))</f>
        <v>Veterinaria Sur</v>
      </c>
      <c r="H381" t="str">
        <f>INDEX(Clientes!$C$2:$C$11,MATCH(Datos_Ventas!C381,Clientes!$A$2:$A$11,0))</f>
        <v>Especializado</v>
      </c>
      <c r="I381" t="str">
        <f>INDEX(Clientes!$D$2:$D$11,MATCH(Datos_Ventas!C381,Clientes!$A$2:$A$11,0))</f>
        <v>Godoy Cruz</v>
      </c>
      <c r="J381">
        <f>Datos_Ventas!E381</f>
        <v>34</v>
      </c>
      <c r="K381" s="29">
        <f>Datos_Ventas!F381</f>
        <v>3420</v>
      </c>
      <c r="L381" s="29">
        <f>Datos_Ventas!G381</f>
        <v>116280</v>
      </c>
      <c r="M381" s="29">
        <f>J381*INDEX(Productos!$D$2:$D$11,MATCH(Datos_Ventas!D381,Productos!$A$2:$A$11,0))</f>
        <v>64600</v>
      </c>
      <c r="N381" s="29">
        <f t="shared" si="22"/>
        <v>51680</v>
      </c>
      <c r="O381" s="30">
        <f>K381/INDEX(Productos!$E$2:$E$11,MATCH(Datos_Ventas!D381,Productos!$A$2:$A$11,0))-1</f>
        <v>-5.0000000000000044E-2</v>
      </c>
      <c r="P381">
        <f t="shared" si="23"/>
        <v>1</v>
      </c>
    </row>
    <row r="382" spans="1:16" x14ac:dyDescent="0.2">
      <c r="A382">
        <f>Datos_Ventas!A382</f>
        <v>404</v>
      </c>
      <c r="B382" s="13">
        <f>Datos_Ventas!B382</f>
        <v>46285</v>
      </c>
      <c r="C382" t="str">
        <f t="shared" si="20"/>
        <v>09 Sep</v>
      </c>
      <c r="D382" t="str">
        <f t="shared" si="21"/>
        <v>T3</v>
      </c>
      <c r="E382" t="str">
        <f>INDEX(Productos!$B$2:$B$11,MATCH(Datos_Ventas!D382,Productos!$A$2:$A$11,0))</f>
        <v>Aceite Omega</v>
      </c>
      <c r="F382" t="str">
        <f>INDEX(Productos!$C$2:$C$11,MATCH(Datos_Ventas!D382,Productos!$A$2:$A$11,0))</f>
        <v>Suplementos</v>
      </c>
      <c r="G382" t="str">
        <f>INDEX(Clientes!$B$2:$B$11,MATCH(Datos_Ventas!C382,Clientes!$A$2:$A$11,0))</f>
        <v>Mayorista del Sol</v>
      </c>
      <c r="H382" t="str">
        <f>INDEX(Clientes!$C$2:$C$11,MATCH(Datos_Ventas!C382,Clientes!$A$2:$A$11,0))</f>
        <v>Mayorista</v>
      </c>
      <c r="I382" t="str">
        <f>INDEX(Clientes!$D$2:$D$11,MATCH(Datos_Ventas!C382,Clientes!$A$2:$A$11,0))</f>
        <v>San Martín</v>
      </c>
      <c r="J382">
        <f>Datos_Ventas!E382</f>
        <v>19</v>
      </c>
      <c r="K382" s="29">
        <f>Datos_Ventas!F382</f>
        <v>6010</v>
      </c>
      <c r="L382" s="29">
        <f>Datos_Ventas!G382</f>
        <v>114190</v>
      </c>
      <c r="M382" s="29">
        <f>J382*INDEX(Productos!$D$2:$D$11,MATCH(Datos_Ventas!D382,Productos!$A$2:$A$11,0))</f>
        <v>58900</v>
      </c>
      <c r="N382" s="29">
        <f t="shared" si="22"/>
        <v>55290</v>
      </c>
      <c r="O382" s="30">
        <f>K382/INDEX(Productos!$E$2:$E$11,MATCH(Datos_Ventas!D382,Productos!$A$2:$A$11,0))-1</f>
        <v>7.3214285714285676E-2</v>
      </c>
      <c r="P382">
        <f t="shared" si="23"/>
        <v>1</v>
      </c>
    </row>
    <row r="383" spans="1:16" x14ac:dyDescent="0.2">
      <c r="A383">
        <f>Datos_Ventas!A383</f>
        <v>405</v>
      </c>
      <c r="B383" s="13">
        <f>Datos_Ventas!B383</f>
        <v>46285</v>
      </c>
      <c r="C383" t="str">
        <f t="shared" si="20"/>
        <v>09 Sep</v>
      </c>
      <c r="D383" t="str">
        <f t="shared" si="21"/>
        <v>T3</v>
      </c>
      <c r="E383" t="str">
        <f>INDEX(Productos!$B$2:$B$11,MATCH(Datos_Ventas!D383,Productos!$A$2:$A$11,0))</f>
        <v>Galletas Perro</v>
      </c>
      <c r="F383" t="str">
        <f>INDEX(Productos!$C$2:$C$11,MATCH(Datos_Ventas!D383,Productos!$A$2:$A$11,0))</f>
        <v>Snacks</v>
      </c>
      <c r="G383" t="str">
        <f>INDEX(Clientes!$B$2:$B$11,MATCH(Datos_Ventas!C383,Clientes!$A$2:$A$11,0))</f>
        <v>Autoservicio Norte</v>
      </c>
      <c r="H383" t="str">
        <f>INDEX(Clientes!$C$2:$C$11,MATCH(Datos_Ventas!C383,Clientes!$A$2:$A$11,0))</f>
        <v>Retail</v>
      </c>
      <c r="I383" t="str">
        <f>INDEX(Clientes!$D$2:$D$11,MATCH(Datos_Ventas!C383,Clientes!$A$2:$A$11,0))</f>
        <v>Las Heras</v>
      </c>
      <c r="J383">
        <f>Datos_Ventas!E383</f>
        <v>29</v>
      </c>
      <c r="K383" s="29">
        <f>Datos_Ventas!F383</f>
        <v>2610</v>
      </c>
      <c r="L383" s="29">
        <f>Datos_Ventas!G383</f>
        <v>75690</v>
      </c>
      <c r="M383" s="29">
        <f>J383*INDEX(Productos!$D$2:$D$11,MATCH(Datos_Ventas!D383,Productos!$A$2:$A$11,0))</f>
        <v>43500</v>
      </c>
      <c r="N383" s="29">
        <f t="shared" si="22"/>
        <v>32190</v>
      </c>
      <c r="O383" s="30">
        <f>K383/INDEX(Productos!$E$2:$E$11,MATCH(Datos_Ventas!D383,Productos!$A$2:$A$11,0))-1</f>
        <v>-3.3333333333333326E-2</v>
      </c>
      <c r="P383">
        <f t="shared" si="23"/>
        <v>1</v>
      </c>
    </row>
    <row r="384" spans="1:16" x14ac:dyDescent="0.2">
      <c r="A384">
        <f>Datos_Ventas!A384</f>
        <v>406</v>
      </c>
      <c r="B384" s="13">
        <f>Datos_Ventas!B384</f>
        <v>46286</v>
      </c>
      <c r="C384" t="str">
        <f t="shared" si="20"/>
        <v>09 Sep</v>
      </c>
      <c r="D384" t="str">
        <f t="shared" si="21"/>
        <v>T3</v>
      </c>
      <c r="E384" t="str">
        <f>INDEX(Productos!$B$2:$B$11,MATCH(Datos_Ventas!D384,Productos!$A$2:$A$11,0))</f>
        <v>Juguete Pelota</v>
      </c>
      <c r="F384" t="str">
        <f>INDEX(Productos!$C$2:$C$11,MATCH(Datos_Ventas!D384,Productos!$A$2:$A$11,0))</f>
        <v>Accesorios</v>
      </c>
      <c r="G384" t="str">
        <f>INDEX(Clientes!$B$2:$B$11,MATCH(Datos_Ventas!C384,Clientes!$A$2:$A$11,0))</f>
        <v>Pet Shop Mascotas</v>
      </c>
      <c r="H384" t="str">
        <f>INDEX(Clientes!$C$2:$C$11,MATCH(Datos_Ventas!C384,Clientes!$A$2:$A$11,0))</f>
        <v>Especializado</v>
      </c>
      <c r="I384" t="str">
        <f>INDEX(Clientes!$D$2:$D$11,MATCH(Datos_Ventas!C384,Clientes!$A$2:$A$11,0))</f>
        <v>Mendoza</v>
      </c>
      <c r="J384">
        <f>Datos_Ventas!E384</f>
        <v>24</v>
      </c>
      <c r="K384" s="29">
        <f>Datos_Ventas!F384</f>
        <v>1670</v>
      </c>
      <c r="L384" s="29">
        <f>Datos_Ventas!G384</f>
        <v>40080</v>
      </c>
      <c r="M384" s="29">
        <f>J384*INDEX(Productos!$D$2:$D$11,MATCH(Datos_Ventas!D384,Productos!$A$2:$A$11,0))</f>
        <v>21600</v>
      </c>
      <c r="N384" s="29">
        <f t="shared" si="22"/>
        <v>18480</v>
      </c>
      <c r="O384" s="30">
        <f>K384/INDEX(Productos!$E$2:$E$11,MATCH(Datos_Ventas!D384,Productos!$A$2:$A$11,0))-1</f>
        <v>-7.2222222222222188E-2</v>
      </c>
      <c r="P384">
        <f t="shared" si="23"/>
        <v>1</v>
      </c>
    </row>
    <row r="385" spans="1:16" x14ac:dyDescent="0.2">
      <c r="A385">
        <f>Datos_Ventas!A385</f>
        <v>407</v>
      </c>
      <c r="B385" s="13">
        <f>Datos_Ventas!B385</f>
        <v>46286</v>
      </c>
      <c r="C385" t="str">
        <f t="shared" si="20"/>
        <v>09 Sep</v>
      </c>
      <c r="D385" t="str">
        <f t="shared" si="21"/>
        <v>T3</v>
      </c>
      <c r="E385" t="str">
        <f>INDEX(Productos!$B$2:$B$11,MATCH(Datos_Ventas!D385,Productos!$A$2:$A$11,0))</f>
        <v>Juguete Pelota</v>
      </c>
      <c r="F385" t="str">
        <f>INDEX(Productos!$C$2:$C$11,MATCH(Datos_Ventas!D385,Productos!$A$2:$A$11,0))</f>
        <v>Accesorios</v>
      </c>
      <c r="G385" t="str">
        <f>INDEX(Clientes!$B$2:$B$11,MATCH(Datos_Ventas!C385,Clientes!$A$2:$A$11,0))</f>
        <v>Kiosco La Esquina</v>
      </c>
      <c r="H385" t="str">
        <f>INDEX(Clientes!$C$2:$C$11,MATCH(Datos_Ventas!C385,Clientes!$A$2:$A$11,0))</f>
        <v>Minorista</v>
      </c>
      <c r="I385" t="str">
        <f>INDEX(Clientes!$D$2:$D$11,MATCH(Datos_Ventas!C385,Clientes!$A$2:$A$11,0))</f>
        <v>Godoy Cruz</v>
      </c>
      <c r="J385">
        <f>Datos_Ventas!E385</f>
        <v>31</v>
      </c>
      <c r="K385" s="29">
        <f>Datos_Ventas!F385</f>
        <v>1710</v>
      </c>
      <c r="L385" s="29">
        <f>Datos_Ventas!G385</f>
        <v>53010</v>
      </c>
      <c r="M385" s="29">
        <f>J385*INDEX(Productos!$D$2:$D$11,MATCH(Datos_Ventas!D385,Productos!$A$2:$A$11,0))</f>
        <v>27900</v>
      </c>
      <c r="N385" s="29">
        <f t="shared" si="22"/>
        <v>25110</v>
      </c>
      <c r="O385" s="30">
        <f>K385/INDEX(Productos!$E$2:$E$11,MATCH(Datos_Ventas!D385,Productos!$A$2:$A$11,0))-1</f>
        <v>-5.0000000000000044E-2</v>
      </c>
      <c r="P385">
        <f t="shared" si="23"/>
        <v>1</v>
      </c>
    </row>
    <row r="386" spans="1:16" x14ac:dyDescent="0.2">
      <c r="A386">
        <f>Datos_Ventas!A386</f>
        <v>408</v>
      </c>
      <c r="B386" s="13">
        <f>Datos_Ventas!B386</f>
        <v>46287</v>
      </c>
      <c r="C386" t="str">
        <f t="shared" ref="C386:C397" si="24">CHOOSE(MONTH(B386),"01 Ene","02 Feb","03 Mar","04 Abr","05 May","06 Jun","07 Jul","08 Ago","09 Sep","10 Oct","11 Nov","12 Dic")</f>
        <v>09 Sep</v>
      </c>
      <c r="D386" t="str">
        <f t="shared" ref="D386:D397" si="25">"T"&amp;ROUNDUP(MONTH(B386)/3,0)</f>
        <v>T3</v>
      </c>
      <c r="E386" t="str">
        <f>INDEX(Productos!$B$2:$B$11,MATCH(Datos_Ventas!D386,Productos!$A$2:$A$11,0))</f>
        <v>Alimento Balanceado 15kg</v>
      </c>
      <c r="F386" t="str">
        <f>INDEX(Productos!$C$2:$C$11,MATCH(Datos_Ventas!D386,Productos!$A$2:$A$11,0))</f>
        <v>Alimentos</v>
      </c>
      <c r="G386" t="str">
        <f>INDEX(Clientes!$B$2:$B$11,MATCH(Datos_Ventas!C386,Clientes!$A$2:$A$11,0))</f>
        <v>Kiosco La Esquina</v>
      </c>
      <c r="H386" t="str">
        <f>INDEX(Clientes!$C$2:$C$11,MATCH(Datos_Ventas!C386,Clientes!$A$2:$A$11,0))</f>
        <v>Minorista</v>
      </c>
      <c r="I386" t="str">
        <f>INDEX(Clientes!$D$2:$D$11,MATCH(Datos_Ventas!C386,Clientes!$A$2:$A$11,0))</f>
        <v>Godoy Cruz</v>
      </c>
      <c r="J386">
        <f>Datos_Ventas!E386</f>
        <v>14</v>
      </c>
      <c r="K386" s="29">
        <f>Datos_Ventas!F386</f>
        <v>13780</v>
      </c>
      <c r="L386" s="29">
        <f>Datos_Ventas!G386</f>
        <v>192920</v>
      </c>
      <c r="M386" s="29">
        <f>J386*INDEX(Productos!$D$2:$D$11,MATCH(Datos_Ventas!D386,Productos!$A$2:$A$11,0))</f>
        <v>137200</v>
      </c>
      <c r="N386" s="29">
        <f t="shared" ref="N386:N397" si="26">L386-M386</f>
        <v>55720</v>
      </c>
      <c r="O386" s="30">
        <f>K386/INDEX(Productos!$E$2:$E$11,MATCH(Datos_Ventas!D386,Productos!$A$2:$A$11,0))-1</f>
        <v>-4.9655172413793136E-2</v>
      </c>
      <c r="P386">
        <f t="shared" ref="P386:P397" si="27">SUBTOTAL(103,A386)</f>
        <v>1</v>
      </c>
    </row>
    <row r="387" spans="1:16" x14ac:dyDescent="0.2">
      <c r="A387">
        <f>Datos_Ventas!A387</f>
        <v>409</v>
      </c>
      <c r="B387" s="13">
        <f>Datos_Ventas!B387</f>
        <v>46287</v>
      </c>
      <c r="C387" t="str">
        <f t="shared" si="24"/>
        <v>09 Sep</v>
      </c>
      <c r="D387" t="str">
        <f t="shared" si="25"/>
        <v>T3</v>
      </c>
      <c r="E387" t="str">
        <f>INDEX(Productos!$B$2:$B$11,MATCH(Datos_Ventas!D387,Productos!$A$2:$A$11,0))</f>
        <v>Arena Sanitaria</v>
      </c>
      <c r="F387" t="str">
        <f>INDEX(Productos!$C$2:$C$11,MATCH(Datos_Ventas!D387,Productos!$A$2:$A$11,0))</f>
        <v>Higiene</v>
      </c>
      <c r="G387" t="str">
        <f>INDEX(Clientes!$B$2:$B$11,MATCH(Datos_Ventas!C387,Clientes!$A$2:$A$11,0))</f>
        <v>Almacén Don Pedro</v>
      </c>
      <c r="H387" t="str">
        <f>INDEX(Clientes!$C$2:$C$11,MATCH(Datos_Ventas!C387,Clientes!$A$2:$A$11,0))</f>
        <v>Minorista</v>
      </c>
      <c r="I387" t="str">
        <f>INDEX(Clientes!$D$2:$D$11,MATCH(Datos_Ventas!C387,Clientes!$A$2:$A$11,0))</f>
        <v>Maipú</v>
      </c>
      <c r="J387">
        <f>Datos_Ventas!E387</f>
        <v>6</v>
      </c>
      <c r="K387" s="29">
        <f>Datos_Ventas!F387</f>
        <v>4460</v>
      </c>
      <c r="L387" s="29">
        <f>Datos_Ventas!G387</f>
        <v>26760</v>
      </c>
      <c r="M387" s="29">
        <f>J387*INDEX(Productos!$D$2:$D$11,MATCH(Datos_Ventas!D387,Productos!$A$2:$A$11,0))</f>
        <v>15600</v>
      </c>
      <c r="N387" s="29">
        <f t="shared" si="26"/>
        <v>11160</v>
      </c>
      <c r="O387" s="30">
        <f>K387/INDEX(Productos!$E$2:$E$11,MATCH(Datos_Ventas!D387,Productos!$A$2:$A$11,0))-1</f>
        <v>1.3636363636363669E-2</v>
      </c>
      <c r="P387">
        <f t="shared" si="27"/>
        <v>1</v>
      </c>
    </row>
    <row r="388" spans="1:16" x14ac:dyDescent="0.2">
      <c r="A388">
        <f>Datos_Ventas!A388</f>
        <v>410</v>
      </c>
      <c r="B388" s="13">
        <f>Datos_Ventas!B388</f>
        <v>46288</v>
      </c>
      <c r="C388" t="str">
        <f t="shared" si="24"/>
        <v>09 Sep</v>
      </c>
      <c r="D388" t="str">
        <f t="shared" si="25"/>
        <v>T3</v>
      </c>
      <c r="E388" t="str">
        <f>INDEX(Productos!$B$2:$B$11,MATCH(Datos_Ventas!D388,Productos!$A$2:$A$11,0))</f>
        <v>Shampoo Mascotas</v>
      </c>
      <c r="F388" t="str">
        <f>INDEX(Productos!$C$2:$C$11,MATCH(Datos_Ventas!D388,Productos!$A$2:$A$11,0))</f>
        <v>Higiene</v>
      </c>
      <c r="G388" t="str">
        <f>INDEX(Clientes!$B$2:$B$11,MATCH(Datos_Ventas!C388,Clientes!$A$2:$A$11,0))</f>
        <v>Veterinaria Sur</v>
      </c>
      <c r="H388" t="str">
        <f>INDEX(Clientes!$C$2:$C$11,MATCH(Datos_Ventas!C388,Clientes!$A$2:$A$11,0))</f>
        <v>Especializado</v>
      </c>
      <c r="I388" t="str">
        <f>INDEX(Clientes!$D$2:$D$11,MATCH(Datos_Ventas!C388,Clientes!$A$2:$A$11,0))</f>
        <v>Godoy Cruz</v>
      </c>
      <c r="J388">
        <f>Datos_Ventas!E388</f>
        <v>7</v>
      </c>
      <c r="K388" s="29">
        <f>Datos_Ventas!F388</f>
        <v>4030</v>
      </c>
      <c r="L388" s="29">
        <f>Datos_Ventas!G388</f>
        <v>28210</v>
      </c>
      <c r="M388" s="29">
        <f>J388*INDEX(Productos!$D$2:$D$11,MATCH(Datos_Ventas!D388,Productos!$A$2:$A$11,0))</f>
        <v>15400</v>
      </c>
      <c r="N388" s="29">
        <f t="shared" si="26"/>
        <v>12810</v>
      </c>
      <c r="O388" s="30">
        <f>K388/INDEX(Productos!$E$2:$E$11,MATCH(Datos_Ventas!D388,Productos!$A$2:$A$11,0))-1</f>
        <v>3.3333333333333437E-2</v>
      </c>
      <c r="P388">
        <f t="shared" si="27"/>
        <v>1</v>
      </c>
    </row>
    <row r="389" spans="1:16" x14ac:dyDescent="0.2">
      <c r="A389">
        <f>Datos_Ventas!A389</f>
        <v>411</v>
      </c>
      <c r="B389" s="13">
        <f>Datos_Ventas!B389</f>
        <v>46288</v>
      </c>
      <c r="C389" t="str">
        <f t="shared" si="24"/>
        <v>09 Sep</v>
      </c>
      <c r="D389" t="str">
        <f t="shared" si="25"/>
        <v>T3</v>
      </c>
      <c r="E389" t="str">
        <f>INDEX(Productos!$B$2:$B$11,MATCH(Datos_Ventas!D389,Productos!$A$2:$A$11,0))</f>
        <v>Shampoo Mascotas</v>
      </c>
      <c r="F389" t="str">
        <f>INDEX(Productos!$C$2:$C$11,MATCH(Datos_Ventas!D389,Productos!$A$2:$A$11,0))</f>
        <v>Higiene</v>
      </c>
      <c r="G389" t="str">
        <f>INDEX(Clientes!$B$2:$B$11,MATCH(Datos_Ventas!C389,Clientes!$A$2:$A$11,0))</f>
        <v>Kiosco La Esquina</v>
      </c>
      <c r="H389" t="str">
        <f>INDEX(Clientes!$C$2:$C$11,MATCH(Datos_Ventas!C389,Clientes!$A$2:$A$11,0))</f>
        <v>Minorista</v>
      </c>
      <c r="I389" t="str">
        <f>INDEX(Clientes!$D$2:$D$11,MATCH(Datos_Ventas!C389,Clientes!$A$2:$A$11,0))</f>
        <v>Godoy Cruz</v>
      </c>
      <c r="J389">
        <f>Datos_Ventas!E389</f>
        <v>13</v>
      </c>
      <c r="K389" s="29">
        <f>Datos_Ventas!F389</f>
        <v>4110</v>
      </c>
      <c r="L389" s="29">
        <f>Datos_Ventas!G389</f>
        <v>53430</v>
      </c>
      <c r="M389" s="29">
        <f>J389*INDEX(Productos!$D$2:$D$11,MATCH(Datos_Ventas!D389,Productos!$A$2:$A$11,0))</f>
        <v>28600</v>
      </c>
      <c r="N389" s="29">
        <f t="shared" si="26"/>
        <v>24830</v>
      </c>
      <c r="O389" s="30">
        <f>K389/INDEX(Productos!$E$2:$E$11,MATCH(Datos_Ventas!D389,Productos!$A$2:$A$11,0))-1</f>
        <v>5.3846153846153877E-2</v>
      </c>
      <c r="P389">
        <f t="shared" si="27"/>
        <v>1</v>
      </c>
    </row>
    <row r="390" spans="1:16" x14ac:dyDescent="0.2">
      <c r="A390">
        <f>Datos_Ventas!A390</f>
        <v>412</v>
      </c>
      <c r="B390" s="13">
        <f>Datos_Ventas!B390</f>
        <v>46288</v>
      </c>
      <c r="C390" t="str">
        <f t="shared" si="24"/>
        <v>09 Sep</v>
      </c>
      <c r="D390" t="str">
        <f t="shared" si="25"/>
        <v>T3</v>
      </c>
      <c r="E390" t="str">
        <f>INDEX(Productos!$B$2:$B$11,MATCH(Datos_Ventas!D390,Productos!$A$2:$A$11,0))</f>
        <v>Alimento Premium 10kg</v>
      </c>
      <c r="F390" t="str">
        <f>INDEX(Productos!$C$2:$C$11,MATCH(Datos_Ventas!D390,Productos!$A$2:$A$11,0))</f>
        <v>Alimentos</v>
      </c>
      <c r="G390" t="str">
        <f>INDEX(Clientes!$B$2:$B$11,MATCH(Datos_Ventas!C390,Clientes!$A$2:$A$11,0))</f>
        <v>Pet Shop Mascotas</v>
      </c>
      <c r="H390" t="str">
        <f>INDEX(Clientes!$C$2:$C$11,MATCH(Datos_Ventas!C390,Clientes!$A$2:$A$11,0))</f>
        <v>Especializado</v>
      </c>
      <c r="I390" t="str">
        <f>INDEX(Clientes!$D$2:$D$11,MATCH(Datos_Ventas!C390,Clientes!$A$2:$A$11,0))</f>
        <v>Mendoza</v>
      </c>
      <c r="J390">
        <f>Datos_Ventas!E390</f>
        <v>19</v>
      </c>
      <c r="K390" s="29">
        <f>Datos_Ventas!F390</f>
        <v>17720</v>
      </c>
      <c r="L390" s="29">
        <f>Datos_Ventas!G390</f>
        <v>336680</v>
      </c>
      <c r="M390" s="29">
        <f>J390*INDEX(Productos!$D$2:$D$11,MATCH(Datos_Ventas!D390,Productos!$A$2:$A$11,0))</f>
        <v>237500</v>
      </c>
      <c r="N390" s="29">
        <f t="shared" si="26"/>
        <v>99180</v>
      </c>
      <c r="O390" s="30">
        <f>K390/INDEX(Productos!$E$2:$E$11,MATCH(Datos_Ventas!D390,Productos!$A$2:$A$11,0))-1</f>
        <v>-6.2433862433862397E-2</v>
      </c>
      <c r="P390">
        <f t="shared" si="27"/>
        <v>1</v>
      </c>
    </row>
    <row r="391" spans="1:16" x14ac:dyDescent="0.2">
      <c r="A391">
        <f>Datos_Ventas!A391</f>
        <v>413</v>
      </c>
      <c r="B391" s="13">
        <f>Datos_Ventas!B391</f>
        <v>46290</v>
      </c>
      <c r="C391" t="str">
        <f t="shared" si="24"/>
        <v>09 Sep</v>
      </c>
      <c r="D391" t="str">
        <f t="shared" si="25"/>
        <v>T3</v>
      </c>
      <c r="E391" t="str">
        <f>INDEX(Productos!$B$2:$B$11,MATCH(Datos_Ventas!D391,Productos!$A$2:$A$11,0))</f>
        <v>Arena Sanitaria</v>
      </c>
      <c r="F391" t="str">
        <f>INDEX(Productos!$C$2:$C$11,MATCH(Datos_Ventas!D391,Productos!$A$2:$A$11,0))</f>
        <v>Higiene</v>
      </c>
      <c r="G391" t="str">
        <f>INDEX(Clientes!$B$2:$B$11,MATCH(Datos_Ventas!C391,Clientes!$A$2:$A$11,0))</f>
        <v>Almacén Don Pedro</v>
      </c>
      <c r="H391" t="str">
        <f>INDEX(Clientes!$C$2:$C$11,MATCH(Datos_Ventas!C391,Clientes!$A$2:$A$11,0))</f>
        <v>Minorista</v>
      </c>
      <c r="I391" t="str">
        <f>INDEX(Clientes!$D$2:$D$11,MATCH(Datos_Ventas!C391,Clientes!$A$2:$A$11,0))</f>
        <v>Maipú</v>
      </c>
      <c r="J391">
        <f>Datos_Ventas!E391</f>
        <v>19</v>
      </c>
      <c r="K391" s="29">
        <f>Datos_Ventas!F391</f>
        <v>4100</v>
      </c>
      <c r="L391" s="29">
        <f>Datos_Ventas!G391</f>
        <v>77900</v>
      </c>
      <c r="M391" s="29">
        <f>J391*INDEX(Productos!$D$2:$D$11,MATCH(Datos_Ventas!D391,Productos!$A$2:$A$11,0))</f>
        <v>49400</v>
      </c>
      <c r="N391" s="29">
        <f t="shared" si="26"/>
        <v>28500</v>
      </c>
      <c r="O391" s="30">
        <f>K391/INDEX(Productos!$E$2:$E$11,MATCH(Datos_Ventas!D391,Productos!$A$2:$A$11,0))-1</f>
        <v>-6.8181818181818232E-2</v>
      </c>
      <c r="P391">
        <f t="shared" si="27"/>
        <v>1</v>
      </c>
    </row>
    <row r="392" spans="1:16" x14ac:dyDescent="0.2">
      <c r="A392">
        <f>Datos_Ventas!A392</f>
        <v>414</v>
      </c>
      <c r="B392" s="13">
        <f>Datos_Ventas!B392</f>
        <v>46290</v>
      </c>
      <c r="C392" t="str">
        <f t="shared" si="24"/>
        <v>09 Sep</v>
      </c>
      <c r="D392" t="str">
        <f t="shared" si="25"/>
        <v>T3</v>
      </c>
      <c r="E392" t="str">
        <f>INDEX(Productos!$B$2:$B$11,MATCH(Datos_Ventas!D392,Productos!$A$2:$A$11,0))</f>
        <v>Shampoo Mascotas</v>
      </c>
      <c r="F392" t="str">
        <f>INDEX(Productos!$C$2:$C$11,MATCH(Datos_Ventas!D392,Productos!$A$2:$A$11,0))</f>
        <v>Higiene</v>
      </c>
      <c r="G392" t="str">
        <f>INDEX(Clientes!$B$2:$B$11,MATCH(Datos_Ventas!C392,Clientes!$A$2:$A$11,0))</f>
        <v>Despensa Vero</v>
      </c>
      <c r="H392" t="str">
        <f>INDEX(Clientes!$C$2:$C$11,MATCH(Datos_Ventas!C392,Clientes!$A$2:$A$11,0))</f>
        <v>Minorista</v>
      </c>
      <c r="I392" t="str">
        <f>INDEX(Clientes!$D$2:$D$11,MATCH(Datos_Ventas!C392,Clientes!$A$2:$A$11,0))</f>
        <v>Mendoza</v>
      </c>
      <c r="J392">
        <f>Datos_Ventas!E392</f>
        <v>21</v>
      </c>
      <c r="K392" s="29">
        <f>Datos_Ventas!F392</f>
        <v>3750</v>
      </c>
      <c r="L392" s="29">
        <f>Datos_Ventas!G392</f>
        <v>78750</v>
      </c>
      <c r="M392" s="29">
        <f>J392*INDEX(Productos!$D$2:$D$11,MATCH(Datos_Ventas!D392,Productos!$A$2:$A$11,0))</f>
        <v>46200</v>
      </c>
      <c r="N392" s="29">
        <f t="shared" si="26"/>
        <v>32550</v>
      </c>
      <c r="O392" s="30">
        <f>K392/INDEX(Productos!$E$2:$E$11,MATCH(Datos_Ventas!D392,Productos!$A$2:$A$11,0))-1</f>
        <v>-3.8461538461538436E-2</v>
      </c>
      <c r="P392">
        <f t="shared" si="27"/>
        <v>1</v>
      </c>
    </row>
    <row r="393" spans="1:16" x14ac:dyDescent="0.2">
      <c r="A393">
        <f>Datos_Ventas!A393</f>
        <v>415</v>
      </c>
      <c r="B393" s="13">
        <f>Datos_Ventas!B393</f>
        <v>46290</v>
      </c>
      <c r="C393" t="str">
        <f t="shared" si="24"/>
        <v>09 Sep</v>
      </c>
      <c r="D393" t="str">
        <f t="shared" si="25"/>
        <v>T3</v>
      </c>
      <c r="E393" t="str">
        <f>INDEX(Productos!$B$2:$B$11,MATCH(Datos_Ventas!D393,Productos!$A$2:$A$11,0))</f>
        <v>Snack Dental</v>
      </c>
      <c r="F393" t="str">
        <f>INDEX(Productos!$C$2:$C$11,MATCH(Datos_Ventas!D393,Productos!$A$2:$A$11,0))</f>
        <v>Snacks</v>
      </c>
      <c r="G393" t="str">
        <f>INDEX(Clientes!$B$2:$B$11,MATCH(Datos_Ventas!C393,Clientes!$A$2:$A$11,0))</f>
        <v>Despensa Vero</v>
      </c>
      <c r="H393" t="str">
        <f>INDEX(Clientes!$C$2:$C$11,MATCH(Datos_Ventas!C393,Clientes!$A$2:$A$11,0))</f>
        <v>Minorista</v>
      </c>
      <c r="I393" t="str">
        <f>INDEX(Clientes!$D$2:$D$11,MATCH(Datos_Ventas!C393,Clientes!$A$2:$A$11,0))</f>
        <v>Mendoza</v>
      </c>
      <c r="J393">
        <f>Datos_Ventas!E393</f>
        <v>15</v>
      </c>
      <c r="K393" s="29">
        <f>Datos_Ventas!F393</f>
        <v>3170</v>
      </c>
      <c r="L393" s="29">
        <f>Datos_Ventas!G393</f>
        <v>47550</v>
      </c>
      <c r="M393" s="29">
        <f>J393*INDEX(Productos!$D$2:$D$11,MATCH(Datos_Ventas!D393,Productos!$A$2:$A$11,0))</f>
        <v>27000</v>
      </c>
      <c r="N393" s="29">
        <f t="shared" si="26"/>
        <v>20550</v>
      </c>
      <c r="O393" s="30">
        <f>K393/INDEX(Productos!$E$2:$E$11,MATCH(Datos_Ventas!D393,Productos!$A$2:$A$11,0))-1</f>
        <v>-9.3750000000000222E-3</v>
      </c>
      <c r="P393">
        <f t="shared" si="27"/>
        <v>1</v>
      </c>
    </row>
    <row r="394" spans="1:16" x14ac:dyDescent="0.2">
      <c r="A394">
        <f>Datos_Ventas!A394</f>
        <v>416</v>
      </c>
      <c r="B394" s="13">
        <f>Datos_Ventas!B394</f>
        <v>46291</v>
      </c>
      <c r="C394" t="str">
        <f t="shared" si="24"/>
        <v>09 Sep</v>
      </c>
      <c r="D394" t="str">
        <f t="shared" si="25"/>
        <v>T3</v>
      </c>
      <c r="E394" t="str">
        <f>INDEX(Productos!$B$2:$B$11,MATCH(Datos_Ventas!D394,Productos!$A$2:$A$11,0))</f>
        <v>Alimento Premium 10kg</v>
      </c>
      <c r="F394" t="str">
        <f>INDEX(Productos!$C$2:$C$11,MATCH(Datos_Ventas!D394,Productos!$A$2:$A$11,0))</f>
        <v>Alimentos</v>
      </c>
      <c r="G394" t="str">
        <f>INDEX(Clientes!$B$2:$B$11,MATCH(Datos_Ventas!C394,Clientes!$A$2:$A$11,0))</f>
        <v>Pet Shop Mascotas</v>
      </c>
      <c r="H394" t="str">
        <f>INDEX(Clientes!$C$2:$C$11,MATCH(Datos_Ventas!C394,Clientes!$A$2:$A$11,0))</f>
        <v>Especializado</v>
      </c>
      <c r="I394" t="str">
        <f>INDEX(Clientes!$D$2:$D$11,MATCH(Datos_Ventas!C394,Clientes!$A$2:$A$11,0))</f>
        <v>Mendoza</v>
      </c>
      <c r="J394">
        <f>Datos_Ventas!E394</f>
        <v>18</v>
      </c>
      <c r="K394" s="29">
        <f>Datos_Ventas!F394</f>
        <v>17750</v>
      </c>
      <c r="L394" s="29">
        <f>Datos_Ventas!G394</f>
        <v>319500</v>
      </c>
      <c r="M394" s="29">
        <f>J394*INDEX(Productos!$D$2:$D$11,MATCH(Datos_Ventas!D394,Productos!$A$2:$A$11,0))</f>
        <v>225000</v>
      </c>
      <c r="N394" s="29">
        <f t="shared" si="26"/>
        <v>94500</v>
      </c>
      <c r="O394" s="30">
        <f>K394/INDEX(Productos!$E$2:$E$11,MATCH(Datos_Ventas!D394,Productos!$A$2:$A$11,0))-1</f>
        <v>-6.0846560846560815E-2</v>
      </c>
      <c r="P394">
        <f t="shared" si="27"/>
        <v>1</v>
      </c>
    </row>
    <row r="395" spans="1:16" x14ac:dyDescent="0.2">
      <c r="A395">
        <f>Datos_Ventas!A395</f>
        <v>417</v>
      </c>
      <c r="B395" s="13">
        <f>Datos_Ventas!B395</f>
        <v>46291</v>
      </c>
      <c r="C395" t="str">
        <f t="shared" si="24"/>
        <v>09 Sep</v>
      </c>
      <c r="D395" t="str">
        <f t="shared" si="25"/>
        <v>T3</v>
      </c>
      <c r="E395" t="str">
        <f>INDEX(Productos!$B$2:$B$11,MATCH(Datos_Ventas!D395,Productos!$A$2:$A$11,0))</f>
        <v>Correa Reforzada</v>
      </c>
      <c r="F395" t="str">
        <f>INDEX(Productos!$C$2:$C$11,MATCH(Datos_Ventas!D395,Productos!$A$2:$A$11,0))</f>
        <v>Accesorios</v>
      </c>
      <c r="G395" t="str">
        <f>INDEX(Clientes!$B$2:$B$11,MATCH(Datos_Ventas!C395,Clientes!$A$2:$A$11,0))</f>
        <v>Supermercado Cuyo</v>
      </c>
      <c r="H395" t="str">
        <f>INDEX(Clientes!$C$2:$C$11,MATCH(Datos_Ventas!C395,Clientes!$A$2:$A$11,0))</f>
        <v>Retail</v>
      </c>
      <c r="I395" t="str">
        <f>INDEX(Clientes!$D$2:$D$11,MATCH(Datos_Ventas!C395,Clientes!$A$2:$A$11,0))</f>
        <v>Guaymallén</v>
      </c>
      <c r="J395">
        <f>Datos_Ventas!E395</f>
        <v>31</v>
      </c>
      <c r="K395" s="29">
        <f>Datos_Ventas!F395</f>
        <v>5560</v>
      </c>
      <c r="L395" s="29">
        <f>Datos_Ventas!G395</f>
        <v>172360</v>
      </c>
      <c r="M395" s="29">
        <f>J395*INDEX(Productos!$D$2:$D$11,MATCH(Datos_Ventas!D395,Productos!$A$2:$A$11,0))</f>
        <v>86800</v>
      </c>
      <c r="N395" s="29">
        <f t="shared" si="26"/>
        <v>85560</v>
      </c>
      <c r="O395" s="30">
        <f>K395/INDEX(Productos!$E$2:$E$11,MATCH(Datos_Ventas!D395,Productos!$A$2:$A$11,0))-1</f>
        <v>6.9230769230769207E-2</v>
      </c>
      <c r="P395">
        <f t="shared" si="27"/>
        <v>1</v>
      </c>
    </row>
    <row r="396" spans="1:16" x14ac:dyDescent="0.2">
      <c r="A396">
        <f>Datos_Ventas!A396</f>
        <v>418</v>
      </c>
      <c r="B396" s="13">
        <f>Datos_Ventas!B396</f>
        <v>46293</v>
      </c>
      <c r="C396" t="str">
        <f t="shared" si="24"/>
        <v>09 Sep</v>
      </c>
      <c r="D396" t="str">
        <f t="shared" si="25"/>
        <v>T3</v>
      </c>
      <c r="E396" t="str">
        <f>INDEX(Productos!$B$2:$B$11,MATCH(Datos_Ventas!D396,Productos!$A$2:$A$11,0))</f>
        <v>Snack Dental</v>
      </c>
      <c r="F396" t="str">
        <f>INDEX(Productos!$C$2:$C$11,MATCH(Datos_Ventas!D396,Productos!$A$2:$A$11,0))</f>
        <v>Snacks</v>
      </c>
      <c r="G396" t="str">
        <f>INDEX(Clientes!$B$2:$B$11,MATCH(Datos_Ventas!C396,Clientes!$A$2:$A$11,0))</f>
        <v>Despensa Vero</v>
      </c>
      <c r="H396" t="str">
        <f>INDEX(Clientes!$C$2:$C$11,MATCH(Datos_Ventas!C396,Clientes!$A$2:$A$11,0))</f>
        <v>Minorista</v>
      </c>
      <c r="I396" t="str">
        <f>INDEX(Clientes!$D$2:$D$11,MATCH(Datos_Ventas!C396,Clientes!$A$2:$A$11,0))</f>
        <v>Mendoza</v>
      </c>
      <c r="J396">
        <f>Datos_Ventas!E396</f>
        <v>24</v>
      </c>
      <c r="K396" s="29">
        <f>Datos_Ventas!F396</f>
        <v>3040</v>
      </c>
      <c r="L396" s="29">
        <f>Datos_Ventas!G396</f>
        <v>72960</v>
      </c>
      <c r="M396" s="29">
        <f>J396*INDEX(Productos!$D$2:$D$11,MATCH(Datos_Ventas!D396,Productos!$A$2:$A$11,0))</f>
        <v>43200</v>
      </c>
      <c r="N396" s="29">
        <f t="shared" si="26"/>
        <v>29760</v>
      </c>
      <c r="O396" s="30">
        <f>K396/INDEX(Productos!$E$2:$E$11,MATCH(Datos_Ventas!D396,Productos!$A$2:$A$11,0))-1</f>
        <v>-5.0000000000000044E-2</v>
      </c>
      <c r="P396">
        <f t="shared" si="27"/>
        <v>1</v>
      </c>
    </row>
    <row r="397" spans="1:16" x14ac:dyDescent="0.2">
      <c r="A397">
        <f>Datos_Ventas!A397</f>
        <v>420</v>
      </c>
      <c r="B397" s="13">
        <f>Datos_Ventas!B397</f>
        <v>46293</v>
      </c>
      <c r="C397" t="str">
        <f t="shared" si="24"/>
        <v>09 Sep</v>
      </c>
      <c r="D397" t="str">
        <f t="shared" si="25"/>
        <v>T3</v>
      </c>
      <c r="E397" t="str">
        <f>INDEX(Productos!$B$2:$B$11,MATCH(Datos_Ventas!D397,Productos!$A$2:$A$11,0))</f>
        <v>Snack Dental</v>
      </c>
      <c r="F397" t="str">
        <f>INDEX(Productos!$C$2:$C$11,MATCH(Datos_Ventas!D397,Productos!$A$2:$A$11,0))</f>
        <v>Snacks</v>
      </c>
      <c r="G397" t="str">
        <f>INDEX(Clientes!$B$2:$B$11,MATCH(Datos_Ventas!C397,Clientes!$A$2:$A$11,0))</f>
        <v>Kiosco La Esquina</v>
      </c>
      <c r="H397" t="str">
        <f>INDEX(Clientes!$C$2:$C$11,MATCH(Datos_Ventas!C397,Clientes!$A$2:$A$11,0))</f>
        <v>Minorista</v>
      </c>
      <c r="I397" t="str">
        <f>INDEX(Clientes!$D$2:$D$11,MATCH(Datos_Ventas!C397,Clientes!$A$2:$A$11,0))</f>
        <v>Godoy Cruz</v>
      </c>
      <c r="J397">
        <f>Datos_Ventas!E397</f>
        <v>20</v>
      </c>
      <c r="K397" s="29">
        <f>Datos_Ventas!F397</f>
        <v>2970</v>
      </c>
      <c r="L397" s="29">
        <f>Datos_Ventas!G397</f>
        <v>59400</v>
      </c>
      <c r="M397" s="29">
        <f>J397*INDEX(Productos!$D$2:$D$11,MATCH(Datos_Ventas!D397,Productos!$A$2:$A$11,0))</f>
        <v>36000</v>
      </c>
      <c r="N397" s="29">
        <f t="shared" si="26"/>
        <v>23400</v>
      </c>
      <c r="O397" s="30">
        <f>K397/INDEX(Productos!$E$2:$E$11,MATCH(Datos_Ventas!D397,Productos!$A$2:$A$11,0))-1</f>
        <v>-7.1875000000000022E-2</v>
      </c>
      <c r="P397">
        <f t="shared" si="27"/>
        <v>1</v>
      </c>
    </row>
  </sheetData>
  <pageMargins left="0.3" right="0.3" top="0.4" bottom="0.4" header="0.2" footer="0.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F3B3-CF27-0E4A-B797-B8EFF5859BAF}">
  <dimension ref="A1:L126"/>
  <sheetViews>
    <sheetView workbookViewId="0"/>
  </sheetViews>
  <sheetFormatPr baseColWidth="10" defaultColWidth="8.83203125" defaultRowHeight="15" x14ac:dyDescent="0.2"/>
  <cols>
    <col min="1" max="1" width="42" customWidth="1"/>
    <col min="2" max="3" width="22" customWidth="1"/>
    <col min="4" max="7" width="14" customWidth="1"/>
    <col min="8" max="8" width="8" customWidth="1"/>
    <col min="9" max="9" width="24" customWidth="1"/>
    <col min="10" max="12" width="14" customWidth="1"/>
  </cols>
  <sheetData>
    <row r="1" spans="1:3" ht="19" x14ac:dyDescent="0.25">
      <c r="A1" s="31" t="s">
        <v>423</v>
      </c>
    </row>
    <row r="3" spans="1:3" x14ac:dyDescent="0.2">
      <c r="A3" t="s">
        <v>424</v>
      </c>
      <c r="B3" s="29">
        <f>SUMIFS(bMonto,bVis,1)</f>
        <v>53694490</v>
      </c>
    </row>
    <row r="4" spans="1:3" x14ac:dyDescent="0.2">
      <c r="A4" t="s">
        <v>425</v>
      </c>
      <c r="B4" s="29">
        <f>SUMIFS(bCosto,bVis,1)</f>
        <v>32984500</v>
      </c>
      <c r="C4" s="32" t="s">
        <v>426</v>
      </c>
    </row>
    <row r="5" spans="1:3" x14ac:dyDescent="0.2">
      <c r="A5" t="s">
        <v>427</v>
      </c>
      <c r="B5" s="29">
        <f>B3-B4</f>
        <v>20709990</v>
      </c>
    </row>
    <row r="6" spans="1:3" x14ac:dyDescent="0.2">
      <c r="A6" t="s">
        <v>428</v>
      </c>
      <c r="B6" s="30">
        <f>IF(B3=0,0,B5/B3)</f>
        <v>0.38570046945226594</v>
      </c>
    </row>
    <row r="7" spans="1:3" x14ac:dyDescent="0.2">
      <c r="A7" t="s">
        <v>429</v>
      </c>
      <c r="B7" s="30">
        <f>Simulación_Escenarios!$C$7</f>
        <v>0.15</v>
      </c>
      <c r="C7" s="32" t="s">
        <v>430</v>
      </c>
    </row>
    <row r="8" spans="1:3" x14ac:dyDescent="0.2">
      <c r="A8" t="s">
        <v>77</v>
      </c>
      <c r="B8" s="29">
        <f>B3*B7</f>
        <v>8054173.5</v>
      </c>
    </row>
    <row r="9" spans="1:3" x14ac:dyDescent="0.2">
      <c r="A9" t="s">
        <v>78</v>
      </c>
      <c r="B9" s="29">
        <f>B5-B8</f>
        <v>12655816.5</v>
      </c>
    </row>
    <row r="10" spans="1:3" x14ac:dyDescent="0.2">
      <c r="A10" t="s">
        <v>431</v>
      </c>
      <c r="B10" s="30">
        <f>Simulación_Escenarios!$C$8</f>
        <v>0.3</v>
      </c>
      <c r="C10" s="32" t="s">
        <v>432</v>
      </c>
    </row>
    <row r="11" spans="1:3" x14ac:dyDescent="0.2">
      <c r="A11" t="s">
        <v>79</v>
      </c>
      <c r="B11" s="29">
        <f>MAX(0,B9)*B10</f>
        <v>3796744.9499999997</v>
      </c>
    </row>
    <row r="12" spans="1:3" x14ac:dyDescent="0.2">
      <c r="A12" t="s">
        <v>433</v>
      </c>
      <c r="B12" s="29">
        <f>B9-B11</f>
        <v>8859071.5500000007</v>
      </c>
    </row>
    <row r="13" spans="1:3" x14ac:dyDescent="0.2">
      <c r="A13" t="s">
        <v>434</v>
      </c>
      <c r="B13" s="30">
        <f>IF(B3=0,0,B12/B3)</f>
        <v>0.16499032861658619</v>
      </c>
    </row>
    <row r="14" spans="1:3" x14ac:dyDescent="0.2">
      <c r="A14" t="s">
        <v>435</v>
      </c>
      <c r="B14" s="33">
        <f>COUNTIFS(bVis,1)</f>
        <v>396</v>
      </c>
    </row>
    <row r="15" spans="1:3" x14ac:dyDescent="0.2">
      <c r="A15" t="s">
        <v>436</v>
      </c>
      <c r="B15" s="33">
        <f>SUMIFS(bCant,bVis,1)</f>
        <v>8371</v>
      </c>
    </row>
    <row r="16" spans="1:3" x14ac:dyDescent="0.2">
      <c r="A16" t="s">
        <v>437</v>
      </c>
      <c r="B16" s="29">
        <f>IF(B14=0,0,B3/B14)</f>
        <v>135592.14646464647</v>
      </c>
    </row>
    <row r="17" spans="1:8" x14ac:dyDescent="0.2">
      <c r="A17" t="s">
        <v>438</v>
      </c>
      <c r="B17" s="33">
        <f>MAX(H25:H33)</f>
        <v>9</v>
      </c>
    </row>
    <row r="18" spans="1:8" x14ac:dyDescent="0.2">
      <c r="A18" t="s">
        <v>439</v>
      </c>
      <c r="B18" s="29">
        <f>IF(B17=0,0,INDEX(D25:D33,B17))</f>
        <v>6510070</v>
      </c>
    </row>
    <row r="19" spans="1:8" x14ac:dyDescent="0.2">
      <c r="A19" t="s">
        <v>440</v>
      </c>
      <c r="B19" s="29">
        <f>IF(B17&lt;=1,0,INDEX(D25:D33,B17-1))</f>
        <v>6028750</v>
      </c>
    </row>
    <row r="20" spans="1:8" x14ac:dyDescent="0.2">
      <c r="A20" t="s">
        <v>441</v>
      </c>
      <c r="B20" s="30">
        <f>IF(B19=0,0,B18/B19-1)</f>
        <v>7.9837445573294641E-2</v>
      </c>
      <c r="C20" s="32" t="s">
        <v>442</v>
      </c>
    </row>
    <row r="21" spans="1:8" x14ac:dyDescent="0.2">
      <c r="A21" t="s">
        <v>443</v>
      </c>
      <c r="B21" s="34">
        <f>IF(B14=0,0,B15/B14)</f>
        <v>21.138888888888889</v>
      </c>
    </row>
    <row r="24" spans="1:8" x14ac:dyDescent="0.2">
      <c r="A24" s="28" t="s">
        <v>444</v>
      </c>
      <c r="B24" s="28" t="s">
        <v>363</v>
      </c>
      <c r="C24" s="28" t="s">
        <v>445</v>
      </c>
      <c r="D24" s="28" t="s">
        <v>424</v>
      </c>
      <c r="E24" s="28" t="s">
        <v>419</v>
      </c>
      <c r="F24" s="28" t="s">
        <v>427</v>
      </c>
      <c r="G24" s="28" t="s">
        <v>446</v>
      </c>
      <c r="H24" s="28" t="s">
        <v>447</v>
      </c>
    </row>
    <row r="25" spans="1:8" x14ac:dyDescent="0.2">
      <c r="A25" s="33">
        <v>1</v>
      </c>
      <c r="B25" t="s">
        <v>448</v>
      </c>
      <c r="C25" t="s">
        <v>449</v>
      </c>
      <c r="D25" s="29">
        <f t="shared" ref="D25:D33" si="0">SUMIFS(bMonto,bVis,1,bMes,B25)</f>
        <v>4904630</v>
      </c>
      <c r="E25" s="29">
        <f t="shared" ref="E25:E33" si="1">SUMIFS(bCosto,bVis,1,bMes,B25)</f>
        <v>2974800</v>
      </c>
      <c r="F25" s="29">
        <f t="shared" ref="F25:F33" si="2">D25-E25</f>
        <v>1929830</v>
      </c>
      <c r="G25" s="30">
        <f t="shared" ref="G25:G33" si="3">IF(D25=0,0,F25/D25)</f>
        <v>0.3934710671345239</v>
      </c>
      <c r="H25" s="33">
        <f t="shared" ref="H25:H33" si="4">IF(D25&gt;0,A25,0)</f>
        <v>1</v>
      </c>
    </row>
    <row r="26" spans="1:8" x14ac:dyDescent="0.2">
      <c r="A26" s="33">
        <v>2</v>
      </c>
      <c r="B26" t="s">
        <v>450</v>
      </c>
      <c r="C26" t="s">
        <v>451</v>
      </c>
      <c r="D26" s="29">
        <f t="shared" si="0"/>
        <v>5020900</v>
      </c>
      <c r="E26" s="29">
        <f t="shared" si="1"/>
        <v>3031600</v>
      </c>
      <c r="F26" s="29">
        <f t="shared" si="2"/>
        <v>1989300</v>
      </c>
      <c r="G26" s="30">
        <f t="shared" si="3"/>
        <v>0.39620386783246031</v>
      </c>
      <c r="H26" s="33">
        <f t="shared" si="4"/>
        <v>2</v>
      </c>
    </row>
    <row r="27" spans="1:8" x14ac:dyDescent="0.2">
      <c r="A27" s="33">
        <v>3</v>
      </c>
      <c r="B27" t="s">
        <v>452</v>
      </c>
      <c r="C27" t="s">
        <v>453</v>
      </c>
      <c r="D27" s="29">
        <f t="shared" si="0"/>
        <v>7919930</v>
      </c>
      <c r="E27" s="29">
        <f t="shared" si="1"/>
        <v>4933200</v>
      </c>
      <c r="F27" s="29">
        <f t="shared" si="2"/>
        <v>2986730</v>
      </c>
      <c r="G27" s="30">
        <f t="shared" si="3"/>
        <v>0.37711570683074219</v>
      </c>
      <c r="H27" s="33">
        <f t="shared" si="4"/>
        <v>3</v>
      </c>
    </row>
    <row r="28" spans="1:8" x14ac:dyDescent="0.2">
      <c r="A28" s="33">
        <v>4</v>
      </c>
      <c r="B28" t="s">
        <v>454</v>
      </c>
      <c r="C28" t="s">
        <v>455</v>
      </c>
      <c r="D28" s="29">
        <f t="shared" si="0"/>
        <v>3734780</v>
      </c>
      <c r="E28" s="29">
        <f t="shared" si="1"/>
        <v>2215800</v>
      </c>
      <c r="F28" s="29">
        <f t="shared" si="2"/>
        <v>1518980</v>
      </c>
      <c r="G28" s="30">
        <f t="shared" si="3"/>
        <v>0.40671204194089078</v>
      </c>
      <c r="H28" s="33">
        <f t="shared" si="4"/>
        <v>4</v>
      </c>
    </row>
    <row r="29" spans="1:8" x14ac:dyDescent="0.2">
      <c r="A29" s="33">
        <v>5</v>
      </c>
      <c r="B29" t="s">
        <v>456</v>
      </c>
      <c r="C29" t="s">
        <v>457</v>
      </c>
      <c r="D29" s="29">
        <f t="shared" si="0"/>
        <v>7201860</v>
      </c>
      <c r="E29" s="29">
        <f t="shared" si="1"/>
        <v>4485100</v>
      </c>
      <c r="F29" s="29">
        <f t="shared" si="2"/>
        <v>2716760</v>
      </c>
      <c r="G29" s="30">
        <f t="shared" si="3"/>
        <v>0.37723032661007017</v>
      </c>
      <c r="H29" s="33">
        <f t="shared" si="4"/>
        <v>5</v>
      </c>
    </row>
    <row r="30" spans="1:8" x14ac:dyDescent="0.2">
      <c r="A30" s="33">
        <v>6</v>
      </c>
      <c r="B30" t="s">
        <v>458</v>
      </c>
      <c r="C30" t="s">
        <v>459</v>
      </c>
      <c r="D30" s="29">
        <f t="shared" si="0"/>
        <v>6351740</v>
      </c>
      <c r="E30" s="29">
        <f t="shared" si="1"/>
        <v>3960200</v>
      </c>
      <c r="F30" s="29">
        <f t="shared" si="2"/>
        <v>2391540</v>
      </c>
      <c r="G30" s="30">
        <f t="shared" si="3"/>
        <v>0.37651730077112727</v>
      </c>
      <c r="H30" s="33">
        <f t="shared" si="4"/>
        <v>6</v>
      </c>
    </row>
    <row r="31" spans="1:8" x14ac:dyDescent="0.2">
      <c r="A31" s="33">
        <v>7</v>
      </c>
      <c r="B31" t="s">
        <v>460</v>
      </c>
      <c r="C31" t="s">
        <v>461</v>
      </c>
      <c r="D31" s="29">
        <f t="shared" si="0"/>
        <v>6021830</v>
      </c>
      <c r="E31" s="29">
        <f t="shared" si="1"/>
        <v>3709600</v>
      </c>
      <c r="F31" s="29">
        <f t="shared" si="2"/>
        <v>2312230</v>
      </c>
      <c r="G31" s="30">
        <f t="shared" si="3"/>
        <v>0.38397463893866152</v>
      </c>
      <c r="H31" s="33">
        <f t="shared" si="4"/>
        <v>7</v>
      </c>
    </row>
    <row r="32" spans="1:8" x14ac:dyDescent="0.2">
      <c r="A32" s="33">
        <v>8</v>
      </c>
      <c r="B32" t="s">
        <v>462</v>
      </c>
      <c r="C32" t="s">
        <v>463</v>
      </c>
      <c r="D32" s="29">
        <f t="shared" si="0"/>
        <v>6028750</v>
      </c>
      <c r="E32" s="29">
        <f t="shared" si="1"/>
        <v>3563300</v>
      </c>
      <c r="F32" s="29">
        <f t="shared" si="2"/>
        <v>2465450</v>
      </c>
      <c r="G32" s="30">
        <f t="shared" si="3"/>
        <v>0.40894878706199461</v>
      </c>
      <c r="H32" s="33">
        <f t="shared" si="4"/>
        <v>8</v>
      </c>
    </row>
    <row r="33" spans="1:12" x14ac:dyDescent="0.2">
      <c r="A33" s="33">
        <v>9</v>
      </c>
      <c r="B33" t="s">
        <v>464</v>
      </c>
      <c r="C33" t="s">
        <v>465</v>
      </c>
      <c r="D33" s="29">
        <f t="shared" si="0"/>
        <v>6510070</v>
      </c>
      <c r="E33" s="29">
        <f t="shared" si="1"/>
        <v>4110900</v>
      </c>
      <c r="F33" s="29">
        <f t="shared" si="2"/>
        <v>2399170</v>
      </c>
      <c r="G33" s="30">
        <f t="shared" si="3"/>
        <v>0.36853213559915637</v>
      </c>
      <c r="H33" s="33">
        <f t="shared" si="4"/>
        <v>9</v>
      </c>
    </row>
    <row r="36" spans="1:12" x14ac:dyDescent="0.2">
      <c r="A36" s="28" t="s">
        <v>343</v>
      </c>
      <c r="B36" s="28" t="s">
        <v>424</v>
      </c>
      <c r="C36" s="28" t="s">
        <v>427</v>
      </c>
      <c r="D36" s="28" t="s">
        <v>446</v>
      </c>
      <c r="E36" s="28" t="s">
        <v>466</v>
      </c>
      <c r="H36" s="28" t="s">
        <v>467</v>
      </c>
      <c r="I36" s="28" t="s">
        <v>468</v>
      </c>
      <c r="J36" s="28" t="s">
        <v>424</v>
      </c>
      <c r="K36" s="28" t="s">
        <v>446</v>
      </c>
      <c r="L36" s="28" t="s">
        <v>469</v>
      </c>
    </row>
    <row r="37" spans="1:12" x14ac:dyDescent="0.2">
      <c r="A37" t="s">
        <v>356</v>
      </c>
      <c r="B37" s="29">
        <f>SUMIFS(bMonto,bVis,1,bCat,A37)</f>
        <v>7633470</v>
      </c>
      <c r="C37" s="29">
        <f>SUMIFS(bMargen,bVis,1,bCat,A37)</f>
        <v>3566870</v>
      </c>
      <c r="D37" s="30">
        <f>IF(B37=0,0,C37/B37)</f>
        <v>0.46726717993258637</v>
      </c>
      <c r="E37" s="33">
        <f>B37+ROW()/1000</f>
        <v>7633470.0369999995</v>
      </c>
      <c r="H37" s="33">
        <v>1</v>
      </c>
      <c r="I37" t="str">
        <f>INDEX($A$37:$A$41,MATCH(LARGE($E$37:$E$41,H37),$E$37:$E$41,0))</f>
        <v>Alimentos</v>
      </c>
      <c r="J37" s="29">
        <f>INDEX($B$37:$B$41,MATCH(I37,$A$37:$A$41,0))</f>
        <v>28348650</v>
      </c>
      <c r="K37" s="30">
        <f>INDEX($D$37:$D$41,MATCH(I37,$A$37:$A$41,0))</f>
        <v>0.33377779894280679</v>
      </c>
      <c r="L37" s="30">
        <f>IF($B$3=0,0,J37/$B$3)</f>
        <v>0.52796199386566478</v>
      </c>
    </row>
    <row r="38" spans="1:12" x14ac:dyDescent="0.2">
      <c r="A38" t="s">
        <v>347</v>
      </c>
      <c r="B38" s="29">
        <f>SUMIFS(bMonto,bVis,1,bCat,A38)</f>
        <v>28348650</v>
      </c>
      <c r="C38" s="29">
        <f>SUMIFS(bMargen,bVis,1,bCat,A38)</f>
        <v>9462150</v>
      </c>
      <c r="D38" s="30">
        <f>IF(B38=0,0,C38/B38)</f>
        <v>0.33377779894280679</v>
      </c>
      <c r="E38" s="33">
        <f>B38+ROW()/1000</f>
        <v>28348650.037999999</v>
      </c>
      <c r="H38" s="33">
        <v>2</v>
      </c>
      <c r="I38" t="str">
        <f>INDEX($A$37:$A$41,MATCH(LARGE($E$37:$E$41,H38),$E$37:$E$41,0))</f>
        <v>Accesorios</v>
      </c>
      <c r="J38" s="29">
        <f>INDEX($B$37:$B$41,MATCH(I38,$A$37:$A$41,0))</f>
        <v>7633470</v>
      </c>
      <c r="K38" s="30">
        <f>INDEX($D$37:$D$41,MATCH(I38,$A$37:$A$41,0))</f>
        <v>0.46726717993258637</v>
      </c>
      <c r="L38" s="30">
        <f>IF($B$3=0,0,J38/$B$3)</f>
        <v>0.14216486645091517</v>
      </c>
    </row>
    <row r="39" spans="1:12" x14ac:dyDescent="0.2">
      <c r="A39" t="s">
        <v>353</v>
      </c>
      <c r="B39" s="29">
        <f>SUMIFS(bMonto,bVis,1,bCat,A39)</f>
        <v>6798920</v>
      </c>
      <c r="C39" s="29">
        <f>SUMIFS(bMargen,bVis,1,bCat,A39)</f>
        <v>2865720</v>
      </c>
      <c r="D39" s="30">
        <f>IF(B39=0,0,C39/B39)</f>
        <v>0.42149635530348939</v>
      </c>
      <c r="E39" s="33">
        <f>B39+ROW()/1000</f>
        <v>6798920.0389999999</v>
      </c>
      <c r="H39" s="33">
        <v>3</v>
      </c>
      <c r="I39" t="str">
        <f>INDEX($A$37:$A$41,MATCH(LARGE($E$37:$E$41,H39),$E$37:$E$41,0))</f>
        <v>Higiene</v>
      </c>
      <c r="J39" s="29">
        <f>INDEX($B$37:$B$41,MATCH(I39,$A$37:$A$41,0))</f>
        <v>6798920</v>
      </c>
      <c r="K39" s="30">
        <f>INDEX($D$37:$D$41,MATCH(I39,$A$37:$A$41,0))</f>
        <v>0.42149635530348939</v>
      </c>
      <c r="L39" s="30">
        <f>IF($B$3=0,0,J39/$B$3)</f>
        <v>0.12662230333131017</v>
      </c>
    </row>
    <row r="40" spans="1:12" x14ac:dyDescent="0.2">
      <c r="A40" t="s">
        <v>350</v>
      </c>
      <c r="B40" s="29">
        <f>SUMIFS(bMonto,bVis,1,bCat,A40)</f>
        <v>5694990</v>
      </c>
      <c r="C40" s="29">
        <f>SUMIFS(bMargen,bVis,1,bCat,A40)</f>
        <v>2492190</v>
      </c>
      <c r="D40" s="30">
        <f>IF(B40=0,0,C40/B40)</f>
        <v>0.43761095278481615</v>
      </c>
      <c r="E40" s="33">
        <f>B40+ROW()/1000</f>
        <v>5694990.04</v>
      </c>
      <c r="H40" s="33">
        <v>4</v>
      </c>
      <c r="I40" t="str">
        <f>INDEX($A$37:$A$41,MATCH(LARGE($E$37:$E$41,H40),$E$37:$E$41,0))</f>
        <v>Snacks</v>
      </c>
      <c r="J40" s="29">
        <f>INDEX($B$37:$B$41,MATCH(I40,$A$37:$A$41,0))</f>
        <v>5694990</v>
      </c>
      <c r="K40" s="30">
        <f>INDEX($D$37:$D$41,MATCH(I40,$A$37:$A$41,0))</f>
        <v>0.43761095278481615</v>
      </c>
      <c r="L40" s="30">
        <f>IF($B$3=0,0,J40/$B$3)</f>
        <v>0.10606283810498991</v>
      </c>
    </row>
    <row r="41" spans="1:12" x14ac:dyDescent="0.2">
      <c r="A41" t="s">
        <v>360</v>
      </c>
      <c r="B41" s="29">
        <f>SUMIFS(bMonto,bVis,1,bCat,A41)</f>
        <v>5218460</v>
      </c>
      <c r="C41" s="29">
        <f>SUMIFS(bMargen,bVis,1,bCat,A41)</f>
        <v>2323060</v>
      </c>
      <c r="D41" s="30">
        <f>IF(B41=0,0,C41/B41)</f>
        <v>0.4451619826538864</v>
      </c>
      <c r="E41" s="33">
        <f>B41+ROW()/1000</f>
        <v>5218460.0410000002</v>
      </c>
      <c r="H41" s="33">
        <v>5</v>
      </c>
      <c r="I41" t="str">
        <f>INDEX($A$37:$A$41,MATCH(LARGE($E$37:$E$41,H41),$E$37:$E$41,0))</f>
        <v>Suplementos</v>
      </c>
      <c r="J41" s="29">
        <f>INDEX($B$37:$B$41,MATCH(I41,$A$37:$A$41,0))</f>
        <v>5218460</v>
      </c>
      <c r="K41" s="30">
        <f>INDEX($D$37:$D$41,MATCH(I41,$A$37:$A$41,0))</f>
        <v>0.4451619826538864</v>
      </c>
      <c r="L41" s="30">
        <f>IF($B$3=0,0,J41/$B$3)</f>
        <v>9.7187998247119961E-2</v>
      </c>
    </row>
    <row r="42" spans="1:12" x14ac:dyDescent="0.2">
      <c r="A42" t="s">
        <v>470</v>
      </c>
      <c r="B42" s="30">
        <f>_xlfn.MINIFS(D37:D41,B37:B41,"&gt;0")</f>
        <v>0.33377779894280679</v>
      </c>
      <c r="C42" t="str">
        <f>IF(B106=0,"-",INDEX(A37:A41,MATCH(B42,D37:D41,0)))</f>
        <v>Alimentos</v>
      </c>
    </row>
    <row r="43" spans="1:12" x14ac:dyDescent="0.2">
      <c r="A43" t="s">
        <v>471</v>
      </c>
      <c r="B43" s="29">
        <f>INDEX(C37:C41,MATCH(I37,A37:A41,0))</f>
        <v>9462150</v>
      </c>
      <c r="C43" s="30">
        <f>IF($B$3-J37=0,0,($B$5-B43)/($B$3-J37))</f>
        <v>0.44377459969762295</v>
      </c>
      <c r="D43" s="32" t="s">
        <v>472</v>
      </c>
    </row>
    <row r="46" spans="1:12" x14ac:dyDescent="0.2">
      <c r="A46" s="28" t="s">
        <v>320</v>
      </c>
      <c r="B46" s="28" t="s">
        <v>424</v>
      </c>
      <c r="C46" s="28" t="s">
        <v>427</v>
      </c>
      <c r="D46" s="28" t="s">
        <v>446</v>
      </c>
      <c r="E46" s="28" t="s">
        <v>473</v>
      </c>
      <c r="F46" s="28" t="s">
        <v>466</v>
      </c>
      <c r="H46" s="28" t="s">
        <v>467</v>
      </c>
      <c r="I46" s="28" t="s">
        <v>474</v>
      </c>
      <c r="J46" s="28" t="s">
        <v>475</v>
      </c>
      <c r="K46" s="28" t="s">
        <v>446</v>
      </c>
      <c r="L46" s="28" t="s">
        <v>424</v>
      </c>
    </row>
    <row r="47" spans="1:12" x14ac:dyDescent="0.2">
      <c r="A47" t="s">
        <v>326</v>
      </c>
      <c r="B47" s="29">
        <f t="shared" ref="B47:B53" si="5">SUMIFS(bMonto,bVis,1,bCiu,A47)</f>
        <v>8787320</v>
      </c>
      <c r="C47" s="29">
        <f t="shared" ref="C47:C53" si="6">SUMIFS(bMargen,bVis,1,bCiu,A47)</f>
        <v>3412520</v>
      </c>
      <c r="D47" s="30">
        <f t="shared" ref="D47:D53" si="7">IF(B47=0,0,C47/B47)</f>
        <v>0.38834593482426949</v>
      </c>
      <c r="E47" s="34">
        <f t="shared" ref="E47:E53" si="8">IF(B47=0,0,(D47-$B$6)*100)</f>
        <v>0.26454653720035526</v>
      </c>
      <c r="F47" s="34">
        <f t="shared" ref="F47:F53" si="9">IF(B47=0,-1000,E47)+ROW()/1000000</f>
        <v>0.26459353720035528</v>
      </c>
      <c r="H47" s="33">
        <v>1</v>
      </c>
      <c r="I47" t="str">
        <f t="shared" ref="I47:I53" si="10">INDEX($A$47:$A$53,MATCH(LARGE($F$47:$F$53,H47),$F$47:$F$53,0))</f>
        <v>Maipú</v>
      </c>
      <c r="J47" s="34">
        <f t="shared" ref="J47:J53" si="11">INDEX($E$47:$E$53,MATCH(I47,$A$47:$A$53,0))</f>
        <v>1.9029198030502403</v>
      </c>
      <c r="K47" s="30">
        <f t="shared" ref="K47:K53" si="12">INDEX($D$47:$D$53,MATCH(I47,$A$47:$A$53,0))</f>
        <v>0.40472966748276834</v>
      </c>
      <c r="L47" s="29">
        <f t="shared" ref="L47:L53" si="13">INDEX($B$47:$B$53,MATCH(I47,$A$47:$A$53,0))</f>
        <v>3582070</v>
      </c>
    </row>
    <row r="48" spans="1:12" x14ac:dyDescent="0.2">
      <c r="A48" t="s">
        <v>329</v>
      </c>
      <c r="B48" s="29">
        <f t="shared" si="5"/>
        <v>3679200</v>
      </c>
      <c r="C48" s="29">
        <f t="shared" si="6"/>
        <v>1452000</v>
      </c>
      <c r="D48" s="30">
        <f t="shared" si="7"/>
        <v>0.39465101108936723</v>
      </c>
      <c r="E48" s="34">
        <f t="shared" si="8"/>
        <v>0.89505416371012947</v>
      </c>
      <c r="F48" s="34">
        <f t="shared" si="9"/>
        <v>0.89510216371012952</v>
      </c>
      <c r="H48" s="33">
        <v>2</v>
      </c>
      <c r="I48" t="str">
        <f t="shared" si="10"/>
        <v>San Martín</v>
      </c>
      <c r="J48" s="34">
        <f t="shared" si="11"/>
        <v>1.8722653792569377</v>
      </c>
      <c r="K48" s="30">
        <f t="shared" si="12"/>
        <v>0.40442312324483531</v>
      </c>
      <c r="L48" s="29">
        <f t="shared" si="13"/>
        <v>6933110</v>
      </c>
    </row>
    <row r="49" spans="1:12" x14ac:dyDescent="0.2">
      <c r="A49" t="s">
        <v>338</v>
      </c>
      <c r="B49" s="29">
        <f t="shared" si="5"/>
        <v>6154430</v>
      </c>
      <c r="C49" s="29">
        <f t="shared" si="6"/>
        <v>2338230</v>
      </c>
      <c r="D49" s="30">
        <f t="shared" si="7"/>
        <v>0.37992632948948968</v>
      </c>
      <c r="E49" s="34">
        <f t="shared" si="8"/>
        <v>-0.57741399627762591</v>
      </c>
      <c r="F49" s="34">
        <f t="shared" si="9"/>
        <v>-0.57736499627762594</v>
      </c>
      <c r="H49" s="33">
        <v>3</v>
      </c>
      <c r="I49" t="str">
        <f t="shared" si="10"/>
        <v>Luján de Cuyo</v>
      </c>
      <c r="J49" s="34">
        <f t="shared" si="11"/>
        <v>0.9052829497972259</v>
      </c>
      <c r="K49" s="30">
        <f t="shared" si="12"/>
        <v>0.3947532989502382</v>
      </c>
      <c r="L49" s="29">
        <f t="shared" si="13"/>
        <v>5692720</v>
      </c>
    </row>
    <row r="50" spans="1:12" x14ac:dyDescent="0.2">
      <c r="A50" t="s">
        <v>333</v>
      </c>
      <c r="B50" s="29">
        <f t="shared" si="5"/>
        <v>5692720</v>
      </c>
      <c r="C50" s="29">
        <f t="shared" si="6"/>
        <v>2247220</v>
      </c>
      <c r="D50" s="30">
        <f t="shared" si="7"/>
        <v>0.3947532989502382</v>
      </c>
      <c r="E50" s="34">
        <f t="shared" si="8"/>
        <v>0.9052829497972259</v>
      </c>
      <c r="F50" s="34">
        <f t="shared" si="9"/>
        <v>0.90533294979722589</v>
      </c>
      <c r="H50" s="33">
        <v>4</v>
      </c>
      <c r="I50" t="str">
        <f t="shared" si="10"/>
        <v>Guaymallén</v>
      </c>
      <c r="J50" s="34">
        <f t="shared" si="11"/>
        <v>0.89505416371012947</v>
      </c>
      <c r="K50" s="30">
        <f t="shared" si="12"/>
        <v>0.39465101108936723</v>
      </c>
      <c r="L50" s="29">
        <f t="shared" si="13"/>
        <v>3679200</v>
      </c>
    </row>
    <row r="51" spans="1:12" x14ac:dyDescent="0.2">
      <c r="A51" t="s">
        <v>331</v>
      </c>
      <c r="B51" s="29">
        <f t="shared" si="5"/>
        <v>3582070</v>
      </c>
      <c r="C51" s="29">
        <f t="shared" si="6"/>
        <v>1449770</v>
      </c>
      <c r="D51" s="30">
        <f t="shared" si="7"/>
        <v>0.40472966748276834</v>
      </c>
      <c r="E51" s="34">
        <f t="shared" si="8"/>
        <v>1.9029198030502403</v>
      </c>
      <c r="F51" s="34">
        <f t="shared" si="9"/>
        <v>1.9029708030502404</v>
      </c>
      <c r="H51" s="33">
        <v>5</v>
      </c>
      <c r="I51" t="str">
        <f t="shared" si="10"/>
        <v>Godoy Cruz</v>
      </c>
      <c r="J51" s="34">
        <f t="shared" si="11"/>
        <v>0.26454653720035526</v>
      </c>
      <c r="K51" s="30">
        <f t="shared" si="12"/>
        <v>0.38834593482426949</v>
      </c>
      <c r="L51" s="29">
        <f t="shared" si="13"/>
        <v>8787320</v>
      </c>
    </row>
    <row r="52" spans="1:12" x14ac:dyDescent="0.2">
      <c r="A52" t="s">
        <v>323</v>
      </c>
      <c r="B52" s="29">
        <f t="shared" si="5"/>
        <v>18865640</v>
      </c>
      <c r="C52" s="29">
        <f t="shared" si="6"/>
        <v>7006340</v>
      </c>
      <c r="D52" s="30">
        <f t="shared" si="7"/>
        <v>0.37138098680988296</v>
      </c>
      <c r="E52" s="34">
        <f t="shared" si="8"/>
        <v>-1.4319482642382975</v>
      </c>
      <c r="F52" s="34">
        <f t="shared" si="9"/>
        <v>-1.4318962642382975</v>
      </c>
      <c r="H52" s="33">
        <v>6</v>
      </c>
      <c r="I52" t="str">
        <f t="shared" si="10"/>
        <v>Las Heras</v>
      </c>
      <c r="J52" s="34">
        <f t="shared" si="11"/>
        <v>-0.57741399627762591</v>
      </c>
      <c r="K52" s="30">
        <f t="shared" si="12"/>
        <v>0.37992632948948968</v>
      </c>
      <c r="L52" s="29">
        <f t="shared" si="13"/>
        <v>6154430</v>
      </c>
    </row>
    <row r="53" spans="1:12" x14ac:dyDescent="0.2">
      <c r="A53" t="s">
        <v>335</v>
      </c>
      <c r="B53" s="29">
        <f t="shared" si="5"/>
        <v>6933110</v>
      </c>
      <c r="C53" s="29">
        <f t="shared" si="6"/>
        <v>2803910</v>
      </c>
      <c r="D53" s="30">
        <f t="shared" si="7"/>
        <v>0.40442312324483531</v>
      </c>
      <c r="E53" s="34">
        <f t="shared" si="8"/>
        <v>1.8722653792569377</v>
      </c>
      <c r="F53" s="34">
        <f t="shared" si="9"/>
        <v>1.8723183792569378</v>
      </c>
      <c r="H53" s="33">
        <v>7</v>
      </c>
      <c r="I53" t="str">
        <f t="shared" si="10"/>
        <v>Mendoza</v>
      </c>
      <c r="J53" s="34">
        <f t="shared" si="11"/>
        <v>-1.4319482642382975</v>
      </c>
      <c r="K53" s="30">
        <f t="shared" si="12"/>
        <v>0.37138098680988296</v>
      </c>
      <c r="L53" s="29">
        <f t="shared" si="13"/>
        <v>18865640</v>
      </c>
    </row>
    <row r="54" spans="1:12" x14ac:dyDescent="0.2">
      <c r="A54" t="s">
        <v>476</v>
      </c>
      <c r="B54" s="33">
        <f>COUNTIF(B47:B53,"&gt;0")</f>
        <v>7</v>
      </c>
    </row>
    <row r="55" spans="1:12" x14ac:dyDescent="0.2">
      <c r="A55" t="s">
        <v>477</v>
      </c>
      <c r="B55" t="str">
        <f>IF(B54=0,"-",INDEX(I47:I53,B54))</f>
        <v>Mendoza</v>
      </c>
    </row>
    <row r="56" spans="1:12" x14ac:dyDescent="0.2">
      <c r="A56" t="s">
        <v>478</v>
      </c>
      <c r="B56" s="34">
        <f>IF(B54=0,0,INDEX(J47:J53,B54))</f>
        <v>-1.4319482642382975</v>
      </c>
    </row>
    <row r="57" spans="1:12" x14ac:dyDescent="0.2">
      <c r="A57" t="s">
        <v>479</v>
      </c>
      <c r="B57" t="str">
        <f>IF(B3=0,"-",INDEX(A47:A53,MATCH(MAX(B47:B53),B47:B53,0)))</f>
        <v>Mendoza</v>
      </c>
    </row>
    <row r="58" spans="1:12" x14ac:dyDescent="0.2">
      <c r="A58" t="s">
        <v>480</v>
      </c>
      <c r="B58" s="30">
        <f>IF(B3=0,0,MAX(B47:B53)/B3)</f>
        <v>0.35135150738930571</v>
      </c>
    </row>
    <row r="59" spans="1:12" x14ac:dyDescent="0.2">
      <c r="A59" t="s">
        <v>481</v>
      </c>
      <c r="B59" s="30">
        <f>IF(B3=0,0,INDEX(D47:D53,MATCH(MAX(B47:B53),B47:B53,0)))</f>
        <v>0.37138098680988296</v>
      </c>
    </row>
    <row r="62" spans="1:12" x14ac:dyDescent="0.2">
      <c r="A62" s="28" t="s">
        <v>319</v>
      </c>
      <c r="B62" s="28" t="s">
        <v>424</v>
      </c>
    </row>
    <row r="63" spans="1:12" x14ac:dyDescent="0.2">
      <c r="A63" t="s">
        <v>340</v>
      </c>
      <c r="B63" s="29">
        <f>SUMIFS(bMonto,bVis,1,bSeg,A63)</f>
        <v>7558660</v>
      </c>
    </row>
    <row r="64" spans="1:12" x14ac:dyDescent="0.2">
      <c r="A64" t="s">
        <v>322</v>
      </c>
      <c r="B64" s="29">
        <f>SUMIFS(bMonto,bVis,1,bSeg,A64)</f>
        <v>12766500</v>
      </c>
    </row>
    <row r="65" spans="1:3" x14ac:dyDescent="0.2">
      <c r="A65" t="s">
        <v>325</v>
      </c>
      <c r="B65" s="29">
        <f>SUMIFS(bMonto,bVis,1,bSeg,A65)</f>
        <v>17842980</v>
      </c>
    </row>
    <row r="66" spans="1:3" x14ac:dyDescent="0.2">
      <c r="A66" t="s">
        <v>328</v>
      </c>
      <c r="B66" s="29">
        <f>SUMIFS(bMonto,bVis,1,bSeg,A66)</f>
        <v>15526350</v>
      </c>
    </row>
    <row r="69" spans="1:3" x14ac:dyDescent="0.2">
      <c r="A69" s="28" t="s">
        <v>482</v>
      </c>
      <c r="B69" s="28" t="s">
        <v>483</v>
      </c>
    </row>
    <row r="70" spans="1:3" x14ac:dyDescent="0.2">
      <c r="A70" t="s">
        <v>424</v>
      </c>
      <c r="B70" s="29">
        <f>B3</f>
        <v>53694490</v>
      </c>
    </row>
    <row r="71" spans="1:3" x14ac:dyDescent="0.2">
      <c r="A71" t="s">
        <v>425</v>
      </c>
      <c r="B71" s="29">
        <f>-B4</f>
        <v>-32984500</v>
      </c>
    </row>
    <row r="72" spans="1:3" x14ac:dyDescent="0.2">
      <c r="A72" t="s">
        <v>427</v>
      </c>
      <c r="B72" s="29">
        <f>B5</f>
        <v>20709990</v>
      </c>
    </row>
    <row r="73" spans="1:3" x14ac:dyDescent="0.2">
      <c r="A73" t="s">
        <v>484</v>
      </c>
      <c r="B73" s="29">
        <f>-B8</f>
        <v>-8054173.5</v>
      </c>
    </row>
    <row r="74" spans="1:3" x14ac:dyDescent="0.2">
      <c r="A74" t="s">
        <v>485</v>
      </c>
      <c r="B74" s="29">
        <f>-B11</f>
        <v>-3796744.9499999997</v>
      </c>
    </row>
    <row r="75" spans="1:3" x14ac:dyDescent="0.2">
      <c r="A75" t="s">
        <v>486</v>
      </c>
      <c r="B75" s="29">
        <f>B12</f>
        <v>8859071.5500000007</v>
      </c>
    </row>
    <row r="78" spans="1:3" x14ac:dyDescent="0.2">
      <c r="A78" t="s">
        <v>487</v>
      </c>
      <c r="B78" s="35">
        <v>-0.05</v>
      </c>
      <c r="C78" s="32" t="s">
        <v>488</v>
      </c>
    </row>
    <row r="79" spans="1:3" x14ac:dyDescent="0.2">
      <c r="A79" t="s">
        <v>489</v>
      </c>
      <c r="B79" s="36">
        <v>10</v>
      </c>
      <c r="C79" s="32" t="s">
        <v>490</v>
      </c>
    </row>
    <row r="81" spans="1:3" x14ac:dyDescent="0.2">
      <c r="A81" s="28" t="s">
        <v>491</v>
      </c>
      <c r="B81" s="28" t="s">
        <v>492</v>
      </c>
      <c r="C81" s="28" t="s">
        <v>493</v>
      </c>
    </row>
    <row r="82" spans="1:3" x14ac:dyDescent="0.2">
      <c r="A82" t="s">
        <v>494</v>
      </c>
      <c r="B82" s="33">
        <v>0</v>
      </c>
      <c r="C82" s="30">
        <f>$B$78</f>
        <v>-0.05</v>
      </c>
    </row>
    <row r="83" spans="1:3" x14ac:dyDescent="0.2">
      <c r="B83" s="33">
        <v>42</v>
      </c>
      <c r="C83" s="30">
        <f>$B$78</f>
        <v>-0.05</v>
      </c>
    </row>
    <row r="85" spans="1:3" x14ac:dyDescent="0.2">
      <c r="A85" t="s">
        <v>495</v>
      </c>
      <c r="B85" s="33">
        <f>$B$79</f>
        <v>10</v>
      </c>
      <c r="C85" s="30">
        <v>-0.1</v>
      </c>
    </row>
    <row r="86" spans="1:3" x14ac:dyDescent="0.2">
      <c r="B86" s="33">
        <f>$B$79</f>
        <v>10</v>
      </c>
      <c r="C86" s="30">
        <v>0.1</v>
      </c>
    </row>
    <row r="89" spans="1:3" x14ac:dyDescent="0.2">
      <c r="A89" t="s">
        <v>496</v>
      </c>
      <c r="B89" s="33">
        <f>COUNTIFS(bVis,1,bDesv,"&lt;"&amp;B78,bCant,"&lt;"&amp;B79)</f>
        <v>18</v>
      </c>
    </row>
    <row r="90" spans="1:3" x14ac:dyDescent="0.2">
      <c r="A90" t="s">
        <v>497</v>
      </c>
      <c r="B90" s="29">
        <f>SUMIFS(bMonto,bVis,1,bDesv,"&lt;"&amp;B78,bCant,"&lt;"&amp;B79)</f>
        <v>683830</v>
      </c>
    </row>
    <row r="91" spans="1:3" x14ac:dyDescent="0.2">
      <c r="A91" t="s">
        <v>498</v>
      </c>
      <c r="B91" s="33">
        <f>B14</f>
        <v>396</v>
      </c>
    </row>
    <row r="92" spans="1:3" x14ac:dyDescent="0.2">
      <c r="A92" t="s">
        <v>499</v>
      </c>
      <c r="B92" s="33">
        <f>SUMIFS(bCant,bVis,1)</f>
        <v>8371</v>
      </c>
    </row>
    <row r="93" spans="1:3" x14ac:dyDescent="0.2">
      <c r="A93" t="s">
        <v>500</v>
      </c>
      <c r="B93" s="34">
        <f>SUMIFS(bDesv,bVis,1)</f>
        <v>-1.2052609124591882</v>
      </c>
    </row>
    <row r="94" spans="1:3" x14ac:dyDescent="0.2">
      <c r="A94" t="s">
        <v>501</v>
      </c>
      <c r="B94" s="33">
        <f>SUMPRODUCT(bVis,bCant,bCant)</f>
        <v>228997</v>
      </c>
    </row>
    <row r="95" spans="1:3" x14ac:dyDescent="0.2">
      <c r="A95" t="s">
        <v>502</v>
      </c>
      <c r="B95" s="34">
        <f>SUMPRODUCT(bVis,bDesv,bDesv)</f>
        <v>0.94857805457270561</v>
      </c>
    </row>
    <row r="96" spans="1:3" x14ac:dyDescent="0.2">
      <c r="A96" t="s">
        <v>503</v>
      </c>
      <c r="B96" s="34">
        <f>SUMPRODUCT(bVis,bCant,bDesv)</f>
        <v>-20.409761459007157</v>
      </c>
    </row>
    <row r="97" spans="1:3" x14ac:dyDescent="0.2">
      <c r="A97" t="s">
        <v>504</v>
      </c>
      <c r="B97" s="34">
        <f>IFERROR((B91*B96-B92*B93)/SQRT((B91*B94-B92^2)*(B91*B95-B93^2)),0)</f>
        <v>2.2854337409822921E-2</v>
      </c>
      <c r="C97" s="32" t="s">
        <v>505</v>
      </c>
    </row>
    <row r="98" spans="1:3" x14ac:dyDescent="0.2">
      <c r="A98" t="s">
        <v>506</v>
      </c>
      <c r="B98" s="30">
        <f>IFERROR(AVERAGEIFS(bDesv,bVis,1,bCant,"&lt;"&amp;B79),0)</f>
        <v>-4.6065671655777583E-4</v>
      </c>
    </row>
    <row r="99" spans="1:3" x14ac:dyDescent="0.2">
      <c r="A99" t="s">
        <v>507</v>
      </c>
      <c r="B99" s="30">
        <f>IFERROR(AVERAGEIFS(bDesv,bVis,1,bCant,"&gt;=30"),0)</f>
        <v>-3.885715326239837E-4</v>
      </c>
    </row>
    <row r="101" spans="1:3" x14ac:dyDescent="0.2">
      <c r="A101" t="s">
        <v>508</v>
      </c>
      <c r="B101" s="33">
        <f>COUNTIF(D25:D33,"&gt;0")</f>
        <v>9</v>
      </c>
    </row>
    <row r="102" spans="1:3" x14ac:dyDescent="0.2">
      <c r="A102" t="s">
        <v>509</v>
      </c>
      <c r="B102" s="29">
        <f>MAX(D25:D33)</f>
        <v>7919930</v>
      </c>
    </row>
    <row r="103" spans="1:3" x14ac:dyDescent="0.2">
      <c r="A103" t="s">
        <v>510</v>
      </c>
      <c r="B103" t="str">
        <f>IF(B102=0,"-",INDEX(C25:C33,MATCH(B102,D25:D33,0)))</f>
        <v>Mar</v>
      </c>
    </row>
    <row r="104" spans="1:3" x14ac:dyDescent="0.2">
      <c r="A104" t="s">
        <v>511</v>
      </c>
      <c r="B104" s="29">
        <f>_xlfn.MINIFS(D25:D33,D25:D33,"&gt;0")</f>
        <v>3734780</v>
      </c>
    </row>
    <row r="105" spans="1:3" x14ac:dyDescent="0.2">
      <c r="A105" t="s">
        <v>512</v>
      </c>
      <c r="B105" t="str">
        <f>IF(B104=0,"-",INDEX(C25:C33,MATCH(B104,D25:D33,0)))</f>
        <v>Abr</v>
      </c>
    </row>
    <row r="106" spans="1:3" x14ac:dyDescent="0.2">
      <c r="A106" t="s">
        <v>513</v>
      </c>
      <c r="B106" s="33">
        <f>COUNTIF(B37:B41,"&gt;0")</f>
        <v>5</v>
      </c>
    </row>
    <row r="107" spans="1:3" x14ac:dyDescent="0.2">
      <c r="A107" t="s">
        <v>514</v>
      </c>
      <c r="B107" s="33">
        <f>COUNTIF(B63:B66,"&gt;0")</f>
        <v>4</v>
      </c>
    </row>
    <row r="110" spans="1:3" x14ac:dyDescent="0.2">
      <c r="A110" t="s">
        <v>515</v>
      </c>
      <c r="B110" t="str">
        <f>"Vista actual: "&amp;B101&amp;" de 9 meses · "&amp;B106&amp;" de 5 categorías · "&amp;B107&amp;" de 4 segmentos · "&amp;B54&amp;" de 7 ciudades"</f>
        <v>Vista actual: 9 de 9 meses · 5 de 5 categorías · 4 de 4 segmentos · 7 de 7 ciudades</v>
      </c>
    </row>
    <row r="111" spans="1:3" x14ac:dyDescent="0.2">
      <c r="A111" t="s">
        <v>516</v>
      </c>
      <c r="B111" t="str">
        <f>IF(B3=0,"No hay ventas para la combinación de filtros elegida: ajustá los segmentadores.","Con la selección actual se facturaron "&amp;"$"&amp;FIXED(B3/1000000,1)&amp;" M"&amp;" en "&amp;FIXED(B14,0)&amp;" ventas, con margen bruto de "&amp;FIXED(B6*100,1)&amp;"%"&amp;" y margen neto estimado de "&amp;FIXED(B13*100,1)&amp;"%"&amp;". "&amp;I37&amp;" aporta el "&amp;FIXED(L37*100,0)&amp;"% de la facturación"&amp;IF(C42=I37," y es la categoría de menor margen ("&amp;FIXED(K37*100,1)&amp;"%"&amp;")."," con margen de "&amp;FIXED(K37*100,1)&amp;"%"&amp;"; el menor margen está en "&amp;C42&amp;" ("&amp;FIXED(B42*100,1)&amp;"%"&amp;").")&amp;" Hay "&amp;B89&amp;" ventas chicas con descuento mayor al "&amp;FIXED(-B78*100,0)&amp;"% para revisar.")</f>
        <v>Con la selección actual se facturaron $53,7 M en 396 ventas, con margen bruto de 38,6% y margen neto estimado de 16,5%. Alimentos aporta el 53% de la facturación y es la categoría de menor margen (33,4%). Hay 18 ventas chicas con descuento mayor al 5% para revisar.</v>
      </c>
    </row>
    <row r="112" spans="1:3" x14ac:dyDescent="0.2">
      <c r="A112" t="s">
        <v>517</v>
      </c>
      <c r="B112" t="str">
        <f>IF(B3=0,"Ventas y margen bruto mensual ($ M)","Ventas y margen bruto mensual ($ M) · pico en "&amp;B103&amp;" ("&amp;"$"&amp;FIXED(B102/1000000,1)&amp;" M"&amp;"), mínimo en "&amp;B105&amp;" ("&amp;"$"&amp;FIXED(B104/1000000,1)&amp;" M"&amp;")")</f>
        <v>Ventas y margen bruto mensual ($ M) · pico en Mar ($7,9 M), mínimo en Abr ($3,7 M)</v>
      </c>
    </row>
    <row r="113" spans="1:2" x14ac:dyDescent="0.2">
      <c r="A113" t="s">
        <v>518</v>
      </c>
      <c r="B113" t="str">
        <f>IF(B3=0,"Cascada de resultados","De cada $100 vendidos quedan $"&amp;FIXED(B6*100,0)&amp;" de margen bruto y $"&amp;FIXED(B13*100,0)&amp;" de margen neto (est.)")</f>
        <v>De cada $100 vendidos quedan $39 de margen bruto y $16 de margen neto (est.)</v>
      </c>
    </row>
    <row r="114" spans="1:2" x14ac:dyDescent="0.2">
      <c r="A114" t="s">
        <v>519</v>
      </c>
      <c r="B114" t="str">
        <f>IF(B3=0,"Ventas por categoría",I37&amp;" = "&amp;FIXED(L37*100,0)&amp;"% de las ventas"&amp;IF(C42=I37," y el menor margen ("&amp;FIXED(K37*100,1)&amp;"%"&amp;")","; menor margen: "&amp;C42&amp;" ("&amp;FIXED(B42*100,1)&amp;"%"&amp;")"))</f>
        <v>Alimentos = 53% de las ventas y el menor margen (33,4%)</v>
      </c>
    </row>
    <row r="115" spans="1:2" x14ac:dyDescent="0.2">
      <c r="A115" t="s">
        <v>520</v>
      </c>
      <c r="B115" t="str">
        <f>IF(B3=0,"Margen bruto por ciudad vs promedio","Margen vs promedio ("&amp;FIXED(B6*100,1)&amp;"%"&amp;"): mejor "&amp;I47&amp;" ("&amp;IF(J47&gt;=0,"+","")&amp;FIXED(J47,1)&amp;" p.p.), peor "&amp;B55&amp;" ("&amp;IF(B56&gt;=0,"+","")&amp;FIXED(B56,1)&amp;" p.p.)")</f>
        <v>Margen vs promedio (38,6%): mejor Maipú (+1,9 p.p.), peor Mendoza (-1,4 p.p.)</v>
      </c>
    </row>
    <row r="116" spans="1:2" x14ac:dyDescent="0.2">
      <c r="A116" t="s">
        <v>521</v>
      </c>
      <c r="B116" t="str">
        <f>IF(B3=0,"Precio cobrado vs lista por venta",B89&amp;" ventas chicas (&lt;"&amp;B79&amp;" u.) con descuento &gt;"&amp;FIXED(-B78*100,0)&amp;"% · correlación cantidad–precio r = "&amp;FIXED(B97,2))</f>
        <v>18 ventas chicas (&lt;10 u.) con descuento &gt;5% · correlación cantidad–precio r = 0,02</v>
      </c>
    </row>
    <row r="117" spans="1:2" x14ac:dyDescent="0.2">
      <c r="A117" t="s">
        <v>522</v>
      </c>
      <c r="B117" t="str">
        <f>"Ticket $"&amp;FIXED(B16/1000,1)&amp;" mil · "&amp;FIXED(B14,0)&amp;" ventas"</f>
        <v>Ticket $135,6 mil · 396 ventas</v>
      </c>
    </row>
    <row r="118" spans="1:2" x14ac:dyDescent="0.2">
      <c r="A118" t="s">
        <v>523</v>
      </c>
      <c r="B118" t="str">
        <f>"Margen bruto "&amp;"$"&amp;FIXED(B5/1000000,1)&amp;" M"&amp;" · costo "&amp;FIXED(IF(B3=0,0,B4/B3)*100,1)&amp;"%"</f>
        <v>Margen bruto $20,7 M · costo 61,4%</v>
      </c>
    </row>
    <row r="119" spans="1:2" x14ac:dyDescent="0.2">
      <c r="A119" t="s">
        <v>524</v>
      </c>
      <c r="B119" t="str">
        <f>"Margen neto "&amp;"$"&amp;FIXED(B12/1000000,1)&amp;" M"&amp;" · opex "&amp;FIXED(B7*100,0)&amp;"%"</f>
        <v>Margen neto $8,9 M · opex 15%</v>
      </c>
    </row>
    <row r="120" spans="1:2" x14ac:dyDescent="0.2">
      <c r="A120" t="s">
        <v>525</v>
      </c>
      <c r="B120" t="str">
        <f>IF(B19=0,"Elegí 2+ meses consecutivos",INDEX(C25:C33,B17)&amp;" vs "&amp;INDEX(C25:C33,B17-1)&amp;" (último mes visible)")</f>
        <v>Sep vs Ago (último mes visible)</v>
      </c>
    </row>
    <row r="121" spans="1:2" x14ac:dyDescent="0.2">
      <c r="A121" t="s">
        <v>526</v>
      </c>
      <c r="B121" t="str">
        <f>FIXED(B21,1)&amp;" u. por venta · "&amp;B54&amp;" ciudades"</f>
        <v>21,1 u. por venta · 7 ciudades</v>
      </c>
    </row>
    <row r="122" spans="1:2" x14ac:dyDescent="0.2">
      <c r="A122" t="s">
        <v>527</v>
      </c>
      <c r="B122" t="str">
        <f>IF(B3=0,"-",I37&amp;" concentra el "&amp;FIXED(L37*100,0)&amp;"% de las ventas con margen de "&amp;FIXED(K37*100,1)&amp;"%"&amp;" vs "&amp;FIXED(C43*100,1)&amp;"%"&amp;" del resto. "&amp;IF(K37&lt;C43,"Hipótesis (IA): efecto mix. La categoría de mayor volumen compite por precio y su costo depende del proveedor, así que crecer ahí diluye el margen total. Acción: combos con categorías de mayor margen y renegociar costos de compra.","La categoría líder además sostiene el margen: priorizar su disponibilidad de stock y exhibición."))</f>
        <v>Alimentos concentra el 53% de las ventas con margen de 33,4% vs 44,4% del resto. Hipótesis (IA): efecto mix. La categoría de mayor volumen compite por precio y su costo depende del proveedor, así que crecer ahí diluye el margen total. Acción: combos con categorías de mayor margen y renegociar costos de compra.</v>
      </c>
    </row>
    <row r="123" spans="1:2" x14ac:dyDescent="0.2">
      <c r="A123" t="s">
        <v>528</v>
      </c>
      <c r="B123" t="str">
        <f>IF(B3=0,"-","Correlación cantidad–precio r = "&amp;FIXED(B97,2)&amp;": "&amp;IF(ABS(B97)&lt;0.3,"el descuento no depende del volumen","el descuento acompaña al volumen")&amp;". Pedidos de menos de "&amp;B79&amp;" u. pagan en promedio "&amp;IF(B98&gt;=0,"+","")&amp;FIXED(B98*100,1)&amp;"%"&amp;" vs lista y los de 30+ u. "&amp;IF(B99&gt;=0,"+","")&amp;FIXED(B99*100,1)&amp;"%"&amp;". Hipótesis (IA): descuentos discrecionales por vendedor o cliente, no una política por volumen. Acción: escala de descuentos por cantidad y aprobación para rebajas mayores al "&amp;FIXED(-B78*100,0)&amp;"%.")</f>
        <v>Correlación cantidad–precio r = 0,02: el descuento no depende del volumen. Pedidos de menos de 10 u. pagan en promedio 0,0% vs lista y los de 30+ u. 0,0%. Hipótesis (IA): descuentos discrecionales por vendedor o cliente, no una política por volumen. Acción: escala de descuentos por cantidad y aprobación para rebajas mayores al 5%.</v>
      </c>
    </row>
    <row r="124" spans="1:2" x14ac:dyDescent="0.2">
      <c r="A124" t="s">
        <v>529</v>
      </c>
      <c r="B124" t="str">
        <f>IF(B3=0,"-",B57&amp;" factura el "&amp;FIXED(B58*100,0)&amp;"% del total con margen de "&amp;FIXED(B59*100,1)&amp;"%"&amp;" (promedio "&amp;FIXED(B6*100,1)&amp;"%"&amp;"). Hipótesis (IA): más competencia urbana o clientes con más poder de negociación. Validación: los descuentos son similares entre ciudades; la brecha se explica por el mix (más Alimentos). Acción: impulsar categorías de mayor margen por zona; referencia: "&amp;I47&amp;" ("&amp;FIXED(K47*100,1)&amp;"%"&amp;").")</f>
        <v>Mendoza factura el 35% del total con margen de 37,1% (promedio 38,6%). Hipótesis (IA): más competencia urbana o clientes con más poder de negociación. Validación: los descuentos son similares entre ciudades; la brecha se explica por el mix (más Alimentos). Acción: impulsar categorías de mayor margen por zona; referencia: Maipú (40,5%).</v>
      </c>
    </row>
    <row r="125" spans="1:2" x14ac:dyDescent="0.2">
      <c r="A125" t="s">
        <v>530</v>
      </c>
      <c r="B125" t="str">
        <f>IF(B101&lt;2,"Seleccioná 2 o más meses para analizar la estacionalidad.","Pico en "&amp;B103&amp;" ("&amp;"$"&amp;FIXED(B102/1000000,1)&amp;" M"&amp;") y valle en "&amp;B105&amp;" ("&amp;"$"&amp;FIXED(B104/1000000,1)&amp;" M"&amp;", "&amp;FIXED((B104/B102-1)*100,0)&amp;"% vs pico). Hipótesis (IA): compras de reposición concentradas; el valle se explica por menos transacciones, no por menos días. Acción: planificar stock y promociones antes del valle y revisar el patrón por segmento con los filtros.")</f>
        <v>Pico en Mar ($7,9 M) y valle en Abr ($3,7 M, -53% vs pico). Hipótesis (IA): compras de reposición concentradas; el valle se explica por menos transacciones, no por menos días. Acción: planificar stock y promociones antes del valle y revisar el patrón por segmento con los filtros.</v>
      </c>
    </row>
    <row r="126" spans="1:2" x14ac:dyDescent="0.2">
      <c r="A126" t="s">
        <v>531</v>
      </c>
      <c r="B126" s="30">
        <f>IF(B19=0,"n/d",B20)</f>
        <v>7.9837445573294641E-2</v>
      </c>
    </row>
  </sheetData>
  <pageMargins left="0.3" right="0.3" top="0.4" bottom="0.4" header="0.2" footer="0.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E3D5-A162-0F45-854B-6814443890FF}">
  <dimension ref="B2:I16"/>
  <sheetViews>
    <sheetView showGridLines="0" workbookViewId="0"/>
  </sheetViews>
  <sheetFormatPr baseColWidth="10" defaultColWidth="8.83203125" defaultRowHeight="15" x14ac:dyDescent="0.2"/>
  <cols>
    <col min="1" max="1" width="2" customWidth="1"/>
    <col min="2" max="2" width="5" customWidth="1"/>
    <col min="3" max="3" width="34" customWidth="1"/>
    <col min="4" max="4" width="48" customWidth="1"/>
    <col min="5" max="5" width="40" customWidth="1"/>
    <col min="6" max="6" width="44" customWidth="1"/>
    <col min="7" max="7" width="14" customWidth="1"/>
    <col min="8" max="8" width="22" customWidth="1"/>
    <col min="9" max="9" width="48" customWidth="1"/>
  </cols>
  <sheetData>
    <row r="2" spans="2:9" ht="21" x14ac:dyDescent="0.25">
      <c r="B2" s="39" t="s">
        <v>532</v>
      </c>
    </row>
    <row r="3" spans="2:9" ht="48" customHeight="1" x14ac:dyDescent="0.2">
      <c r="B3" s="81" t="s">
        <v>533</v>
      </c>
      <c r="C3" s="81"/>
      <c r="D3" s="81"/>
      <c r="E3" s="81"/>
      <c r="F3" s="81"/>
      <c r="G3" s="81"/>
      <c r="H3" s="81"/>
      <c r="I3" s="81"/>
    </row>
    <row r="5" spans="2:9" x14ac:dyDescent="0.2">
      <c r="B5" s="46" t="s">
        <v>534</v>
      </c>
    </row>
    <row r="6" spans="2:9" x14ac:dyDescent="0.2">
      <c r="B6" s="82" t="s">
        <v>535</v>
      </c>
      <c r="C6" s="82"/>
      <c r="D6" s="82"/>
      <c r="E6" s="82"/>
      <c r="F6" s="82"/>
      <c r="G6" s="82"/>
      <c r="H6" s="82"/>
      <c r="I6" s="82"/>
    </row>
    <row r="7" spans="2:9" x14ac:dyDescent="0.2">
      <c r="B7" s="82" t="s">
        <v>536</v>
      </c>
      <c r="C7" s="82"/>
      <c r="D7" s="82"/>
      <c r="E7" s="82"/>
      <c r="F7" s="82"/>
      <c r="G7" s="82"/>
      <c r="H7" s="82"/>
      <c r="I7" s="82"/>
    </row>
    <row r="8" spans="2:9" x14ac:dyDescent="0.2">
      <c r="B8" s="82" t="s">
        <v>537</v>
      </c>
      <c r="C8" s="82"/>
      <c r="D8" s="82"/>
      <c r="E8" s="82"/>
      <c r="F8" s="82"/>
      <c r="G8" s="82"/>
      <c r="H8" s="82"/>
      <c r="I8" s="82"/>
    </row>
    <row r="9" spans="2:9" x14ac:dyDescent="0.2">
      <c r="B9" s="82" t="s">
        <v>538</v>
      </c>
      <c r="C9" s="82"/>
      <c r="D9" s="82"/>
      <c r="E9" s="82"/>
      <c r="F9" s="82"/>
      <c r="G9" s="82"/>
      <c r="H9" s="82"/>
      <c r="I9" s="82"/>
    </row>
    <row r="11" spans="2:9" ht="32" customHeight="1" x14ac:dyDescent="0.2">
      <c r="B11" s="40" t="s">
        <v>444</v>
      </c>
      <c r="C11" s="40" t="s">
        <v>539</v>
      </c>
      <c r="D11" s="40" t="s">
        <v>540</v>
      </c>
      <c r="E11" s="40" t="s">
        <v>541</v>
      </c>
      <c r="F11" s="40" t="s">
        <v>542</v>
      </c>
      <c r="G11" s="40" t="s">
        <v>543</v>
      </c>
      <c r="H11" s="40" t="s">
        <v>544</v>
      </c>
      <c r="I11" s="41" t="s">
        <v>545</v>
      </c>
    </row>
    <row r="12" spans="2:9" ht="120" customHeight="1" x14ac:dyDescent="0.2">
      <c r="B12" s="42">
        <v>1</v>
      </c>
      <c r="C12" s="42" t="s">
        <v>546</v>
      </c>
      <c r="D12" s="42" t="s">
        <v>547</v>
      </c>
      <c r="E12" s="42" t="s">
        <v>548</v>
      </c>
      <c r="F12" s="42" t="s">
        <v>549</v>
      </c>
      <c r="G12" s="44">
        <f>AVERAGEIFS(Base_Dashboard!$O$2:$O$397,Base_Dashboard!$F$2:$F$397,"Alimentos")</f>
        <v>2.7416947483420331E-3</v>
      </c>
      <c r="H12" s="42" t="s">
        <v>550</v>
      </c>
      <c r="I12" s="43"/>
    </row>
    <row r="13" spans="2:9" ht="120" customHeight="1" x14ac:dyDescent="0.2">
      <c r="B13" s="42">
        <v>2</v>
      </c>
      <c r="C13" s="42" t="s">
        <v>551</v>
      </c>
      <c r="D13" s="42" t="s">
        <v>552</v>
      </c>
      <c r="E13" s="42" t="s">
        <v>553</v>
      </c>
      <c r="F13" s="42" t="s">
        <v>554</v>
      </c>
      <c r="G13" s="45">
        <f>CORREL(Base_Dashboard!$J$2:$J$397,Base_Dashboard!$O$2:$O$397)</f>
        <v>2.28543374098229E-2</v>
      </c>
      <c r="H13" s="42" t="s">
        <v>555</v>
      </c>
      <c r="I13" s="43"/>
    </row>
    <row r="14" spans="2:9" ht="120" customHeight="1" x14ac:dyDescent="0.2">
      <c r="B14" s="42">
        <v>3</v>
      </c>
      <c r="C14" s="42" t="s">
        <v>556</v>
      </c>
      <c r="D14" s="42" t="s">
        <v>557</v>
      </c>
      <c r="E14" s="42" t="s">
        <v>558</v>
      </c>
      <c r="F14" s="42" t="s">
        <v>559</v>
      </c>
      <c r="G14" s="44">
        <f>SUMIFS(Base_Dashboard!$L$2:$L$397,Base_Dashboard!$I$2:$I$397,"Mendoza",Base_Dashboard!$F$2:$F$397,"Alimentos")/SUMIFS(Base_Dashboard!$L$2:$L$397,Base_Dashboard!$I$2:$I$397,"Mendoza")</f>
        <v>0.62551124690177484</v>
      </c>
      <c r="H14" s="42" t="s">
        <v>560</v>
      </c>
      <c r="I14" s="43"/>
    </row>
    <row r="15" spans="2:9" ht="120" customHeight="1" x14ac:dyDescent="0.2">
      <c r="B15" s="42">
        <v>4</v>
      </c>
      <c r="C15" s="42" t="s">
        <v>561</v>
      </c>
      <c r="D15" s="42" t="s">
        <v>562</v>
      </c>
      <c r="E15" s="42" t="s">
        <v>563</v>
      </c>
      <c r="F15" s="42" t="s">
        <v>564</v>
      </c>
      <c r="G15" s="44">
        <f>COUNTIFS(Base_Dashboard!$C$2:$C$397,"04 Abr")/COUNTIFS(Base_Dashboard!$C$2:$C$397,"03 Mar")-1</f>
        <v>-0.31372549019607843</v>
      </c>
      <c r="H15" s="42" t="s">
        <v>565</v>
      </c>
      <c r="I15" s="43"/>
    </row>
    <row r="16" spans="2:9" ht="120" customHeight="1" x14ac:dyDescent="0.2">
      <c r="B16" s="42">
        <v>5</v>
      </c>
      <c r="C16" s="42" t="s">
        <v>566</v>
      </c>
      <c r="D16" s="42" t="s">
        <v>567</v>
      </c>
      <c r="E16" s="42" t="s">
        <v>568</v>
      </c>
      <c r="F16" s="42" t="s">
        <v>569</v>
      </c>
      <c r="G16" s="45">
        <f>SUM(Base_Dashboard!$J$2:$J$397)/COUNT(Base_Dashboard!$A$2:$A$397)</f>
        <v>21.138888888888889</v>
      </c>
      <c r="H16" s="42" t="s">
        <v>570</v>
      </c>
      <c r="I16" s="43"/>
    </row>
  </sheetData>
  <mergeCells count="5">
    <mergeCell ref="B3:I3"/>
    <mergeCell ref="B6:I6"/>
    <mergeCell ref="B7:I7"/>
    <mergeCell ref="B8:I8"/>
    <mergeCell ref="B9:I9"/>
  </mergeCells>
  <pageMargins left="0.3" right="0.3" top="0.4" bottom="0.4" header="0.2" footer="0.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34201C-0175-4F50-9930-FC0E219A66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13</vt:i4>
      </vt:variant>
    </vt:vector>
  </HeadingPairs>
  <TitlesOfParts>
    <vt:vector size="28" baseType="lpstr">
      <vt:lpstr>Dashboard</vt:lpstr>
      <vt:lpstr>Estado_del_Proyecto</vt:lpstr>
      <vt:lpstr>Esquema_Estrella</vt:lpstr>
      <vt:lpstr>Medidas_DAX</vt:lpstr>
      <vt:lpstr>Datos_Ventas</vt:lpstr>
      <vt:lpstr>Datos_Crudos</vt:lpstr>
      <vt:lpstr>Clientes</vt:lpstr>
      <vt:lpstr>Productos</vt:lpstr>
      <vt:lpstr>Calendario</vt:lpstr>
      <vt:lpstr>Estadística_Descriptiva</vt:lpstr>
      <vt:lpstr>Simulación_Escenarios</vt:lpstr>
      <vt:lpstr>Resumen_Escenarios</vt:lpstr>
      <vt:lpstr>Base_Dashboard</vt:lpstr>
      <vt:lpstr>Calc_Dashboard</vt:lpstr>
      <vt:lpstr>Análisis_IA</vt:lpstr>
      <vt:lpstr>bCant</vt:lpstr>
      <vt:lpstr>bCat</vt:lpstr>
      <vt:lpstr>bCiu</vt:lpstr>
      <vt:lpstr>bCosto</vt:lpstr>
      <vt:lpstr>bDesv</vt:lpstr>
      <vt:lpstr>bMargen</vt:lpstr>
      <vt:lpstr>bMes</vt:lpstr>
      <vt:lpstr>bMonto</vt:lpstr>
      <vt:lpstr>bSeg</vt:lpstr>
      <vt:lpstr>bVis</vt:lpstr>
      <vt:lpstr>Margen_Neto</vt:lpstr>
      <vt:lpstr>Margen_Neto_Pct</vt:lpstr>
      <vt:lpstr>Tasa_Costo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Fernández Escobar</cp:lastModifiedBy>
  <dcterms:created xsi:type="dcterms:W3CDTF">2026-10-01T20:24:46Z</dcterms:created>
  <dcterms:modified xsi:type="dcterms:W3CDTF">2026-10-02T16:09:25Z</dcterms:modified>
</cp:coreProperties>
</file>